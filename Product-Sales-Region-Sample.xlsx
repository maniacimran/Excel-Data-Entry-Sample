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33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2" i="1"/>
</calcChain>
</file>

<file path=xl/sharedStrings.xml><?xml version="1.0" encoding="utf-8"?>
<sst xmlns="http://schemas.openxmlformats.org/spreadsheetml/2006/main" count="1177" uniqueCount="278">
  <si>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</si>
  <si>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</si>
  <si>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</si>
  <si>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</si>
  <si>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</si>
  <si>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</si>
  <si>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</si>
  <si>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</si>
  <si>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</si>
  <si>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</si>
  <si>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</si>
  <si>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</si>
  <si>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</si>
  <si>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</si>
  <si>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</si>
  <si>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</si>
  <si>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</si>
  <si>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</si>
  <si>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</si>
  <si>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 India</t>
  </si>
  <si>
    <t>Laptop</t>
  </si>
  <si>
    <t>Reliance Digital</t>
  </si>
  <si>
    <t>Wholesale</t>
  </si>
  <si>
    <t>Rajesh</t>
  </si>
  <si>
    <t>Online</t>
  </si>
  <si>
    <t>FreeShipping</t>
  </si>
  <si>
    <t>REG100000</t>
  </si>
  <si>
    <t>Ananya Reddy</t>
  </si>
  <si>
    <t>Arjun Mehta</t>
  </si>
  <si>
    <t>South India</t>
  </si>
  <si>
    <t>Phone</t>
  </si>
  <si>
    <t>Croma</t>
  </si>
  <si>
    <t>Retail</t>
  </si>
  <si>
    <t>Meera</t>
  </si>
  <si>
    <t>Gift Card</t>
  </si>
  <si>
    <t>Save10</t>
  </si>
  <si>
    <t>REG100001</t>
  </si>
  <si>
    <t>Kabir Singh</t>
  </si>
  <si>
    <t>Priya Sharma</t>
  </si>
  <si>
    <t>North India</t>
  </si>
  <si>
    <t>Desk</t>
  </si>
  <si>
    <t>Vikram</t>
  </si>
  <si>
    <t>Winter15</t>
  </si>
  <si>
    <t>REG100002</t>
  </si>
  <si>
    <t>Diya Patil</t>
  </si>
  <si>
    <t>Vikram Singh</t>
  </si>
  <si>
    <t>Central India</t>
  </si>
  <si>
    <t>Chair</t>
  </si>
  <si>
    <t>Anjali</t>
  </si>
  <si>
    <t>REG100003</t>
  </si>
  <si>
    <t>Rohan Joshi</t>
  </si>
  <si>
    <t>Rajesh Kumar</t>
  </si>
  <si>
    <t>Spice Mall</t>
  </si>
  <si>
    <t>Kiran</t>
  </si>
  <si>
    <t>REG100004</t>
  </si>
  <si>
    <t>Ishita Gupta</t>
  </si>
  <si>
    <t>Monitor</t>
  </si>
  <si>
    <t>Electronics Bazaar</t>
  </si>
  <si>
    <t>Sanjay</t>
  </si>
  <si>
    <t>Credit Card</t>
  </si>
  <si>
    <t>REG100005</t>
  </si>
  <si>
    <t>Nikhil Desai</t>
  </si>
  <si>
    <t>Debit Card</t>
  </si>
  <si>
    <t>REG100006</t>
  </si>
  <si>
    <t>Priya Nair</t>
  </si>
  <si>
    <t>Cash</t>
  </si>
  <si>
    <t>REG100007</t>
  </si>
  <si>
    <t>Arjun Nair</t>
  </si>
  <si>
    <t>REG100008</t>
  </si>
  <si>
    <t>Kavya Iyer</t>
  </si>
  <si>
    <t>West India</t>
  </si>
  <si>
    <t>REG100009</t>
  </si>
  <si>
    <t>Siddharth Menon</t>
  </si>
  <si>
    <t>Neha Gupta</t>
  </si>
  <si>
    <t>REG100010</t>
  </si>
  <si>
    <t>Ritika Sharma</t>
  </si>
  <si>
    <t>REG100011</t>
  </si>
  <si>
    <t>Aditya Verma</t>
  </si>
  <si>
    <t>REG100012</t>
  </si>
  <si>
    <t>Meera Krishnan</t>
  </si>
  <si>
    <t>Tablet</t>
  </si>
  <si>
    <t>REG100013</t>
  </si>
  <si>
    <t>Vikram Nair</t>
  </si>
  <si>
    <t>REG100014</t>
  </si>
  <si>
    <t>Ananya Joshi</t>
  </si>
  <si>
    <t>REG100015</t>
  </si>
  <si>
    <t>Rohan Patil</t>
  </si>
  <si>
    <t>REG100016</t>
  </si>
  <si>
    <t>Kabir Gupta</t>
  </si>
  <si>
    <t>REG100017</t>
  </si>
  <si>
    <t>Priya Deshmukh</t>
  </si>
  <si>
    <t>REG100018</t>
  </si>
  <si>
    <t>Siddharth Iyer</t>
  </si>
  <si>
    <t>REG100019</t>
  </si>
  <si>
    <t>Aditya Menon</t>
  </si>
  <si>
    <t>REG100020</t>
  </si>
  <si>
    <t>Ishita Verma</t>
  </si>
  <si>
    <t>REG100021</t>
  </si>
  <si>
    <t>Ritika Nair</t>
  </si>
  <si>
    <t>REG100022</t>
  </si>
  <si>
    <t>Diya Desai</t>
  </si>
  <si>
    <t>REG100023</t>
  </si>
  <si>
    <t>Ananya Sharma</t>
  </si>
  <si>
    <t>REG100024</t>
  </si>
  <si>
    <t>Nikhil Joshi</t>
  </si>
  <si>
    <t>REG100025</t>
  </si>
  <si>
    <t>Kabir Nair</t>
  </si>
  <si>
    <t>REG100026</t>
  </si>
  <si>
    <t>Meera Gupta</t>
  </si>
  <si>
    <t>REG100027</t>
  </si>
  <si>
    <t>Arjun Reddy</t>
  </si>
  <si>
    <t>REG100028</t>
  </si>
  <si>
    <t>REG100029</t>
  </si>
  <si>
    <t>Vikram Iyer</t>
  </si>
  <si>
    <t>REG100030</t>
  </si>
  <si>
    <t>Rohan Menon</t>
  </si>
  <si>
    <t>REG100031</t>
  </si>
  <si>
    <t>Kavya Reddy</t>
  </si>
  <si>
    <t>REG100032</t>
  </si>
  <si>
    <t>Siddharth Sharma</t>
  </si>
  <si>
    <t>REG100033</t>
  </si>
  <si>
    <t>Diya Nair</t>
  </si>
  <si>
    <t>REG100034</t>
  </si>
  <si>
    <t>Aditya Reddy</t>
  </si>
  <si>
    <t>REG100035</t>
  </si>
  <si>
    <t>REG100036</t>
  </si>
  <si>
    <t>Ritika Patil</t>
  </si>
  <si>
    <t>REG100037</t>
  </si>
  <si>
    <t>Ishita Joshi</t>
  </si>
  <si>
    <t>Printer</t>
  </si>
  <si>
    <t>REG100038</t>
  </si>
  <si>
    <t>Ananya Gupta</t>
  </si>
  <si>
    <t>REG100039</t>
  </si>
  <si>
    <t>Kabir Deshmukh</t>
  </si>
  <si>
    <t>REG100040</t>
  </si>
  <si>
    <t>Arjun Menon</t>
  </si>
  <si>
    <t>REG100041</t>
  </si>
  <si>
    <t>Rohan Iyer</t>
  </si>
  <si>
    <t>REG100042</t>
  </si>
  <si>
    <t>Priya Verma</t>
  </si>
  <si>
    <t>REG100043</t>
  </si>
  <si>
    <t>Siddharth Reddy</t>
  </si>
  <si>
    <t>REG100044</t>
  </si>
  <si>
    <t>REG100045</t>
  </si>
  <si>
    <t>REG100046</t>
  </si>
  <si>
    <t>Vikram Desai</t>
  </si>
  <si>
    <t>REG100047</t>
  </si>
  <si>
    <t>Ritika Menon</t>
  </si>
  <si>
    <t>REG100048</t>
  </si>
  <si>
    <t>Meera Iyer</t>
  </si>
  <si>
    <t>REG100049</t>
  </si>
  <si>
    <t>REG100050</t>
  </si>
  <si>
    <t>Priya Reddy</t>
  </si>
  <si>
    <t>REG100051</t>
  </si>
  <si>
    <t>Siddharth Deshmukh</t>
  </si>
  <si>
    <t>REG100052</t>
  </si>
  <si>
    <t>Aditya Gupta</t>
  </si>
  <si>
    <t>REG100053</t>
  </si>
  <si>
    <t>Ananya Iyer</t>
  </si>
  <si>
    <t>REG100054</t>
  </si>
  <si>
    <t>Rohan Sharma</t>
  </si>
  <si>
    <t>REG100055</t>
  </si>
  <si>
    <t>Kavya Desai</t>
  </si>
  <si>
    <t>REG100056</t>
  </si>
  <si>
    <t>Nikhil Reddy</t>
  </si>
  <si>
    <t>REG100057</t>
  </si>
  <si>
    <t>Diya Joshi</t>
  </si>
  <si>
    <t>REG100058</t>
  </si>
  <si>
    <t>Arjun Patil</t>
  </si>
  <si>
    <t>REG100059</t>
  </si>
  <si>
    <t>REG100060</t>
  </si>
  <si>
    <t>Ritika Verma</t>
  </si>
  <si>
    <t>REG100061</t>
  </si>
  <si>
    <t>Kabir Reddy</t>
  </si>
  <si>
    <t>REG100062</t>
  </si>
  <si>
    <t>Ishita Desai</t>
  </si>
  <si>
    <t>REG100063</t>
  </si>
  <si>
    <t>Siddharth Gupta</t>
  </si>
  <si>
    <t>REG100064</t>
  </si>
  <si>
    <t>REG100065</t>
  </si>
  <si>
    <t>Ananya Deshmukh</t>
  </si>
  <si>
    <t>REG100066</t>
  </si>
  <si>
    <t>Rohan Reddy</t>
  </si>
  <si>
    <t>REG100067</t>
  </si>
  <si>
    <t>REG100068</t>
  </si>
  <si>
    <t>Diya Iyer</t>
  </si>
  <si>
    <t>REG100069</t>
  </si>
  <si>
    <t>Meera Joshi</t>
  </si>
  <si>
    <t>REG100070</t>
  </si>
  <si>
    <t>Nikhil Verma</t>
  </si>
  <si>
    <t>REG100071</t>
  </si>
  <si>
    <t>Kavya Patil</t>
  </si>
  <si>
    <t>REG100072</t>
  </si>
  <si>
    <t>Siddharth Desai</t>
  </si>
  <si>
    <t>REG100073</t>
  </si>
  <si>
    <t>Arjun Iyer</t>
  </si>
  <si>
    <t>REG100074</t>
  </si>
  <si>
    <t>Ritika Gupta</t>
  </si>
  <si>
    <t>REG100075</t>
  </si>
  <si>
    <t>Priya Joshi</t>
  </si>
  <si>
    <t>REG100076</t>
  </si>
  <si>
    <t>Kabir Menon</t>
  </si>
  <si>
    <t>REG100077</t>
  </si>
  <si>
    <t>Vikram Deshmukh</t>
  </si>
  <si>
    <t>REG100078</t>
  </si>
  <si>
    <t>REG100079</t>
  </si>
  <si>
    <t>Rohan Nair</t>
  </si>
  <si>
    <t>REG100080</t>
  </si>
  <si>
    <t>Ishita Reddy</t>
  </si>
  <si>
    <t>REG100081</t>
  </si>
  <si>
    <t>REG100082</t>
  </si>
  <si>
    <t>REG100083</t>
  </si>
  <si>
    <t>Siddharth Patil</t>
  </si>
  <si>
    <t>REG100084</t>
  </si>
  <si>
    <t>Kavya Deshmukh</t>
  </si>
  <si>
    <t>REG100085</t>
  </si>
  <si>
    <t>REG100086</t>
  </si>
  <si>
    <t>Meera Reddy</t>
  </si>
  <si>
    <t>REG100087</t>
  </si>
  <si>
    <t>REG100088</t>
  </si>
  <si>
    <t>Priya Iyer</t>
  </si>
  <si>
    <t>REG100089</t>
  </si>
  <si>
    <t>Rohan Gupta</t>
  </si>
  <si>
    <t>REG100090</t>
  </si>
  <si>
    <t>Kabir Verma</t>
  </si>
  <si>
    <t>REG100091</t>
  </si>
  <si>
    <t>Ananya Menon</t>
  </si>
  <si>
    <t>REG100092</t>
  </si>
  <si>
    <t>REG100093</t>
  </si>
  <si>
    <t>REG100094</t>
  </si>
  <si>
    <t>REG100095</t>
  </si>
  <si>
    <t>Diya Gupta</t>
  </si>
  <si>
    <t>REG100096</t>
  </si>
  <si>
    <t>Kavya Menon</t>
  </si>
  <si>
    <t>REG100097</t>
  </si>
  <si>
    <t>Aditya Nair</t>
  </si>
  <si>
    <t>REG100098</t>
  </si>
  <si>
    <t>Priya Desai</t>
  </si>
  <si>
    <t>REG100099</t>
  </si>
  <si>
    <t>REG100100</t>
  </si>
  <si>
    <t>REG100101</t>
  </si>
  <si>
    <t>Ishita Nair</t>
  </si>
  <si>
    <t>Summer20</t>
  </si>
  <si>
    <t>REG100102</t>
  </si>
  <si>
    <t>Festival10</t>
  </si>
  <si>
    <t>REG100103</t>
  </si>
  <si>
    <t>Bulk5</t>
  </si>
  <si>
    <t>REG100104</t>
  </si>
  <si>
    <t>Monsoon15</t>
  </si>
  <si>
    <t>REG100105</t>
  </si>
  <si>
    <t>Vikram Patil</t>
  </si>
  <si>
    <t>Diwali20</t>
  </si>
  <si>
    <t>REG100106</t>
  </si>
  <si>
    <t>Republic10</t>
  </si>
  <si>
    <t>REG100107</t>
  </si>
  <si>
    <t>OnamSale</t>
  </si>
  <si>
    <t>REG100108</t>
  </si>
  <si>
    <t>Christmas10</t>
  </si>
  <si>
    <t>REG100109</t>
  </si>
  <si>
    <t>Summer15</t>
  </si>
  <si>
    <t>REG100110</t>
  </si>
  <si>
    <t>Monsoon10</t>
  </si>
  <si>
    <t>REG100111</t>
  </si>
  <si>
    <t>Onam20</t>
  </si>
  <si>
    <t>REG100112</t>
  </si>
  <si>
    <t>GSTFree</t>
  </si>
  <si>
    <t>REG100113</t>
  </si>
  <si>
    <t>Dussehra10</t>
  </si>
  <si>
    <t>REG100114</t>
  </si>
  <si>
    <t>Summer5</t>
  </si>
  <si>
    <t>REG100115</t>
  </si>
  <si>
    <t>Ritika Reddy</t>
  </si>
  <si>
    <t>Winter25</t>
  </si>
  <si>
    <t>REG100116</t>
  </si>
  <si>
    <t>Kabir Joshi</t>
  </si>
  <si>
    <t>Holi15</t>
  </si>
  <si>
    <t>REG100117</t>
  </si>
  <si>
    <t>Ananya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</si>
</sst>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Font="1"/>
    <xf numFmtId="0" fontId="0" fillId="33" borderId="0" xfId="0" applyFill="1"/>
    <xf numFmtId="164" fontId="16" fillId="33" borderId="0" xfId="0" applyNumberFormat="1" applyFont="1" applyFill="1"/>
    <xf numFmtId="164" fontId="16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/>
    <xf numFmtId="22" fontId="0" fillId="33" borderId="0" xfId="0" applyNumberFormat="1" applyFill="1" applyAlignment="1">
      <alignment horizontal="center"/>
    </xf>
    <xf numFmtId="0" fontId="18" fillId="34" borderId="0" xfId="0" applyFont="1" applyFill="1" applyAlignment="1">
      <alignment horizontal="center" vertical="center"/>
    </xf>
    <xf numFmtId="164" fontId="18" fillId="34" borderId="0" xfId="0" applyNumberFormat="1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0" fillId="35" borderId="0" xfId="0" applyFill="1"/>
    <xf numFmtId="164" fontId="16" fillId="35" borderId="0" xfId="0" applyNumberFormat="1" applyFont="1" applyFill="1"/>
    <xf numFmtId="164" fontId="16" fillId="35" borderId="0" xfId="0" applyNumberFormat="1" applyFont="1" applyFill="1" applyAlignment="1">
      <alignment horizontal="center"/>
    </xf>
    <xf numFmtId="0" fontId="0" fillId="35" borderId="0" xfId="0" applyFill="1" applyAlignment="1">
      <alignment horizontal="center"/>
    </xf>
    <xf numFmtId="164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66"/>
      <color rgb="FFCC99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tabSelected="1" topLeftCell="F1" workbookViewId="0">
      <selection activeCell="R2" sqref="R2:R119"/>
    </sheetView>
  </sheetViews>
  <sheetFormatPr defaultRowHeight="14.4" x14ac:dyDescent="0.3"/>
  <cols>
    <col min="1" max="1" width="15.44140625" bestFit="1" customWidth="1"/>
    <col min="2" max="2" width="11.33203125" style="15" bestFit="1" customWidth="1"/>
    <col min="4" max="4" width="8.88671875" style="15"/>
    <col min="5" max="5" width="11.33203125" style="4" bestFit="1" customWidth="1"/>
    <col min="6" max="6" width="16" style="15" bestFit="1" customWidth="1"/>
    <col min="7" max="7" width="14.5546875" bestFit="1" customWidth="1"/>
    <col min="8" max="8" width="11.44140625" style="16" bestFit="1" customWidth="1"/>
    <col min="9" max="9" width="12.109375" bestFit="1" customWidth="1"/>
    <col min="10" max="10" width="13.109375" style="17" bestFit="1" customWidth="1"/>
    <col min="11" max="11" width="16.77734375" bestFit="1" customWidth="1"/>
    <col min="12" max="12" width="11.21875" style="15" bestFit="1" customWidth="1"/>
    <col min="13" max="13" width="9.6640625" bestFit="1" customWidth="1"/>
    <col min="14" max="14" width="13.109375" style="18" customWidth="1"/>
    <col min="15" max="15" width="17.77734375" bestFit="1" customWidth="1"/>
    <col min="16" max="16" width="13.21875" style="19" bestFit="1" customWidth="1"/>
    <col min="17" max="17" width="17.6640625" style="2" customWidth="1"/>
    <col min="18" max="18" width="18.33203125" style="18" customWidth="1"/>
    <col min="19" max="19" width="15.6640625" bestFit="1" customWidth="1"/>
  </cols>
  <sheetData>
    <row r="1" spans="1:19" s="14" customFormat="1" ht="15.6" x14ac:dyDescent="0.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  <c r="Q1" s="12" t="s">
        <v>16</v>
      </c>
      <c r="R1" s="12" t="s">
        <v>17</v>
      </c>
      <c r="S1" s="12" t="s">
        <v>18</v>
      </c>
    </row>
    <row r="2" spans="1:19" x14ac:dyDescent="0.3">
      <c r="A2" s="1">
        <v>44980</v>
      </c>
      <c r="B2" s="6" t="s">
        <v>19</v>
      </c>
      <c r="C2" t="s">
        <v>20</v>
      </c>
      <c r="D2" s="6">
        <v>14</v>
      </c>
      <c r="E2" s="4">
        <v>54999</v>
      </c>
      <c r="F2" s="6" t="s">
        <v>21</v>
      </c>
      <c r="G2" t="s">
        <v>22</v>
      </c>
      <c r="H2" s="7">
        <v>20450</v>
      </c>
      <c r="I2" t="s">
        <v>23</v>
      </c>
      <c r="J2" s="8">
        <f>D2*E2-H2+P2</f>
        <v>749579.34</v>
      </c>
      <c r="K2" t="s">
        <v>24</v>
      </c>
      <c r="L2" s="6" t="s">
        <v>25</v>
      </c>
      <c r="M2">
        <v>0</v>
      </c>
      <c r="N2" s="9" t="s">
        <v>26</v>
      </c>
      <c r="O2" t="s">
        <v>27</v>
      </c>
      <c r="P2" s="10">
        <v>43.34</v>
      </c>
      <c r="Q2" s="3">
        <v>44980</v>
      </c>
      <c r="R2" s="11">
        <v>44984</v>
      </c>
      <c r="S2" t="s">
        <v>28</v>
      </c>
    </row>
    <row r="3" spans="1:19" x14ac:dyDescent="0.3">
      <c r="A3" s="1">
        <v>45645</v>
      </c>
      <c r="B3" s="6" t="s">
        <v>29</v>
      </c>
      <c r="C3" t="s">
        <v>30</v>
      </c>
      <c r="D3" s="6">
        <v>1</v>
      </c>
      <c r="E3" s="4">
        <v>18999</v>
      </c>
      <c r="F3" s="6" t="s">
        <v>31</v>
      </c>
      <c r="G3" t="s">
        <v>32</v>
      </c>
      <c r="H3" s="7">
        <v>656</v>
      </c>
      <c r="I3" t="s">
        <v>33</v>
      </c>
      <c r="J3" s="8">
        <f t="shared" ref="J3:J66" si="0">D3*E3-H3+P3</f>
        <v>18348.3</v>
      </c>
      <c r="K3" t="s">
        <v>34</v>
      </c>
      <c r="L3" s="6" t="s">
        <v>35</v>
      </c>
      <c r="M3">
        <v>0</v>
      </c>
      <c r="N3" s="9" t="s">
        <v>36</v>
      </c>
      <c r="O3" t="s">
        <v>37</v>
      </c>
      <c r="P3" s="10">
        <v>5.3</v>
      </c>
      <c r="Q3" s="3">
        <v>45645</v>
      </c>
      <c r="R3" s="11">
        <v>45654</v>
      </c>
      <c r="S3" t="s">
        <v>38</v>
      </c>
    </row>
    <row r="4" spans="1:19" x14ac:dyDescent="0.3">
      <c r="A4" s="1">
        <v>45056</v>
      </c>
      <c r="B4" s="6" t="s">
        <v>39</v>
      </c>
      <c r="C4" t="s">
        <v>40</v>
      </c>
      <c r="D4" s="6">
        <v>14</v>
      </c>
      <c r="E4" s="4">
        <v>14999</v>
      </c>
      <c r="F4" s="6" t="s">
        <v>21</v>
      </c>
      <c r="G4" t="s">
        <v>22</v>
      </c>
      <c r="H4" s="7">
        <v>14520</v>
      </c>
      <c r="I4" t="s">
        <v>41</v>
      </c>
      <c r="J4" s="8">
        <f t="shared" si="0"/>
        <v>195486.46</v>
      </c>
      <c r="K4" t="s">
        <v>24</v>
      </c>
      <c r="L4" s="6" t="s">
        <v>42</v>
      </c>
      <c r="M4">
        <v>0</v>
      </c>
      <c r="N4" s="9" t="s">
        <v>43</v>
      </c>
      <c r="O4" t="s">
        <v>44</v>
      </c>
      <c r="P4" s="10">
        <v>20.46</v>
      </c>
      <c r="Q4" s="3">
        <v>45056</v>
      </c>
      <c r="R4" s="11">
        <v>45065</v>
      </c>
      <c r="S4" t="s">
        <v>45</v>
      </c>
    </row>
    <row r="5" spans="1:19" x14ac:dyDescent="0.3">
      <c r="A5" s="1">
        <v>45714</v>
      </c>
      <c r="B5" s="6" t="s">
        <v>46</v>
      </c>
      <c r="C5" t="s">
        <v>47</v>
      </c>
      <c r="D5" s="6">
        <v>18</v>
      </c>
      <c r="E5" s="4">
        <v>7999</v>
      </c>
      <c r="F5" s="6" t="s">
        <v>31</v>
      </c>
      <c r="G5" t="s">
        <v>22</v>
      </c>
      <c r="H5" s="7">
        <v>15690</v>
      </c>
      <c r="I5" t="s">
        <v>48</v>
      </c>
      <c r="J5" s="8">
        <f t="shared" si="0"/>
        <v>128319.95</v>
      </c>
      <c r="K5" t="s">
        <v>34</v>
      </c>
      <c r="L5" s="6" t="s">
        <v>25</v>
      </c>
      <c r="M5">
        <v>0</v>
      </c>
      <c r="N5" s="9" t="s">
        <v>49</v>
      </c>
      <c r="O5" t="s">
        <v>50</v>
      </c>
      <c r="P5" s="10">
        <v>27.95</v>
      </c>
      <c r="Q5" s="3">
        <v>45714</v>
      </c>
      <c r="R5" s="11">
        <v>45718</v>
      </c>
      <c r="S5" t="s">
        <v>51</v>
      </c>
    </row>
    <row r="6" spans="1:19" x14ac:dyDescent="0.3">
      <c r="A6" s="1">
        <v>45101</v>
      </c>
      <c r="B6" s="6" t="s">
        <v>19</v>
      </c>
      <c r="C6" t="s">
        <v>40</v>
      </c>
      <c r="D6" s="6">
        <v>18</v>
      </c>
      <c r="E6" s="4">
        <v>12999</v>
      </c>
      <c r="F6" s="6" t="s">
        <v>52</v>
      </c>
      <c r="G6" t="s">
        <v>32</v>
      </c>
      <c r="H6" s="7">
        <v>13560</v>
      </c>
      <c r="I6" t="s">
        <v>53</v>
      </c>
      <c r="J6" s="8">
        <f t="shared" si="0"/>
        <v>220427.73</v>
      </c>
      <c r="K6" t="s">
        <v>24</v>
      </c>
      <c r="L6" s="6" t="s">
        <v>35</v>
      </c>
      <c r="M6">
        <v>0</v>
      </c>
      <c r="N6" s="9" t="s">
        <v>54</v>
      </c>
      <c r="O6" t="s">
        <v>55</v>
      </c>
      <c r="P6" s="10">
        <v>5.73</v>
      </c>
      <c r="Q6" s="3">
        <v>45101</v>
      </c>
      <c r="R6" s="11">
        <v>45104</v>
      </c>
      <c r="S6" t="s">
        <v>28</v>
      </c>
    </row>
    <row r="7" spans="1:19" x14ac:dyDescent="0.3">
      <c r="A7" s="1">
        <v>45342</v>
      </c>
      <c r="B7" s="6" t="s">
        <v>46</v>
      </c>
      <c r="C7" t="s">
        <v>56</v>
      </c>
      <c r="D7" s="6">
        <v>2</v>
      </c>
      <c r="E7" s="4">
        <v>15999</v>
      </c>
      <c r="F7" s="6" t="s">
        <v>57</v>
      </c>
      <c r="G7" t="s">
        <v>22</v>
      </c>
      <c r="H7" s="7">
        <v>1200</v>
      </c>
      <c r="I7" t="s">
        <v>58</v>
      </c>
      <c r="J7" s="8">
        <f t="shared" si="0"/>
        <v>30809.919999999998</v>
      </c>
      <c r="K7" t="s">
        <v>59</v>
      </c>
      <c r="L7" s="6"/>
      <c r="M7">
        <v>0</v>
      </c>
      <c r="N7" s="9" t="s">
        <v>60</v>
      </c>
      <c r="O7" t="s">
        <v>61</v>
      </c>
      <c r="P7" s="10">
        <v>11.92</v>
      </c>
      <c r="Q7" s="3">
        <v>45342</v>
      </c>
      <c r="R7" s="11">
        <v>45352</v>
      </c>
      <c r="S7" t="s">
        <v>51</v>
      </c>
    </row>
    <row r="8" spans="1:19" x14ac:dyDescent="0.3">
      <c r="A8" s="1">
        <v>44937</v>
      </c>
      <c r="B8" s="6" t="s">
        <v>29</v>
      </c>
      <c r="C8" t="s">
        <v>47</v>
      </c>
      <c r="D8" s="6">
        <v>7</v>
      </c>
      <c r="E8" s="5">
        <v>4999</v>
      </c>
      <c r="F8" s="6" t="s">
        <v>52</v>
      </c>
      <c r="G8" t="s">
        <v>32</v>
      </c>
      <c r="H8" s="7">
        <v>630</v>
      </c>
      <c r="I8" t="s">
        <v>33</v>
      </c>
      <c r="J8" s="8">
        <f t="shared" si="0"/>
        <v>34368.019999999997</v>
      </c>
      <c r="K8" t="s">
        <v>62</v>
      </c>
      <c r="L8" s="6" t="s">
        <v>42</v>
      </c>
      <c r="M8">
        <v>0</v>
      </c>
      <c r="N8" s="9" t="s">
        <v>63</v>
      </c>
      <c r="O8" t="s">
        <v>64</v>
      </c>
      <c r="P8" s="10">
        <v>5.0199999999999996</v>
      </c>
      <c r="Q8" s="3">
        <v>44937</v>
      </c>
      <c r="R8" s="11">
        <v>44940</v>
      </c>
      <c r="S8" t="s">
        <v>38</v>
      </c>
    </row>
    <row r="9" spans="1:19" x14ac:dyDescent="0.3">
      <c r="A9" s="1">
        <v>44935</v>
      </c>
      <c r="B9" s="6" t="s">
        <v>46</v>
      </c>
      <c r="C9" t="s">
        <v>47</v>
      </c>
      <c r="D9" s="6">
        <v>3</v>
      </c>
      <c r="E9" s="4">
        <v>11999</v>
      </c>
      <c r="F9" s="6" t="s">
        <v>52</v>
      </c>
      <c r="G9" t="s">
        <v>22</v>
      </c>
      <c r="H9" s="7">
        <v>1930</v>
      </c>
      <c r="I9" t="s">
        <v>53</v>
      </c>
      <c r="J9" s="8">
        <f t="shared" si="0"/>
        <v>34115.01</v>
      </c>
      <c r="K9" t="s">
        <v>65</v>
      </c>
      <c r="L9" s="6"/>
      <c r="M9">
        <v>0</v>
      </c>
      <c r="N9" s="9" t="s">
        <v>66</v>
      </c>
      <c r="O9" t="s">
        <v>67</v>
      </c>
      <c r="P9" s="10">
        <v>48.01</v>
      </c>
      <c r="Q9" s="3">
        <v>44935</v>
      </c>
      <c r="R9" s="11">
        <v>44937</v>
      </c>
      <c r="S9" t="s">
        <v>51</v>
      </c>
    </row>
    <row r="10" spans="1:19" x14ac:dyDescent="0.3">
      <c r="A10" s="1">
        <v>45581</v>
      </c>
      <c r="B10" s="6" t="s">
        <v>29</v>
      </c>
      <c r="C10" t="s">
        <v>47</v>
      </c>
      <c r="D10" s="6">
        <v>3</v>
      </c>
      <c r="E10" s="4">
        <v>14999</v>
      </c>
      <c r="F10" s="6" t="s">
        <v>57</v>
      </c>
      <c r="G10" t="s">
        <v>22</v>
      </c>
      <c r="H10" s="7">
        <v>1480</v>
      </c>
      <c r="I10" t="s">
        <v>23</v>
      </c>
      <c r="J10" s="8">
        <f t="shared" si="0"/>
        <v>43559.11</v>
      </c>
      <c r="K10" t="s">
        <v>62</v>
      </c>
      <c r="L10" s="6" t="s">
        <v>25</v>
      </c>
      <c r="M10">
        <v>1</v>
      </c>
      <c r="N10" s="9" t="s">
        <v>68</v>
      </c>
      <c r="O10" t="s">
        <v>69</v>
      </c>
      <c r="P10" s="10">
        <v>42.11</v>
      </c>
      <c r="Q10" s="3">
        <v>45581</v>
      </c>
      <c r="R10" s="11">
        <v>45583</v>
      </c>
      <c r="S10" t="s">
        <v>38</v>
      </c>
    </row>
    <row r="11" spans="1:19" x14ac:dyDescent="0.3">
      <c r="A11" s="1">
        <v>45721</v>
      </c>
      <c r="B11" s="6" t="s">
        <v>70</v>
      </c>
      <c r="C11" t="s">
        <v>40</v>
      </c>
      <c r="D11" s="6">
        <v>5</v>
      </c>
      <c r="E11" s="4">
        <v>18999</v>
      </c>
      <c r="F11" s="6" t="s">
        <v>57</v>
      </c>
      <c r="G11" t="s">
        <v>32</v>
      </c>
      <c r="H11" s="7">
        <v>3250</v>
      </c>
      <c r="I11" t="s">
        <v>48</v>
      </c>
      <c r="J11" s="8">
        <f t="shared" si="0"/>
        <v>91786.1</v>
      </c>
      <c r="K11" t="s">
        <v>34</v>
      </c>
      <c r="L11" s="6" t="s">
        <v>35</v>
      </c>
      <c r="M11">
        <v>0</v>
      </c>
      <c r="N11" s="9" t="s">
        <v>71</v>
      </c>
      <c r="O11" t="s">
        <v>72</v>
      </c>
      <c r="P11" s="10">
        <v>41.1</v>
      </c>
      <c r="Q11" s="3">
        <v>45721</v>
      </c>
      <c r="R11" s="11">
        <v>45729</v>
      </c>
      <c r="S11" t="s">
        <v>73</v>
      </c>
    </row>
    <row r="12" spans="1:19" x14ac:dyDescent="0.3">
      <c r="A12" s="1">
        <v>45392</v>
      </c>
      <c r="B12" s="6" t="s">
        <v>39</v>
      </c>
      <c r="C12" t="s">
        <v>40</v>
      </c>
      <c r="D12" s="6">
        <v>15</v>
      </c>
      <c r="E12" s="4">
        <v>14999</v>
      </c>
      <c r="F12" s="6" t="s">
        <v>21</v>
      </c>
      <c r="G12" t="s">
        <v>22</v>
      </c>
      <c r="H12" s="7">
        <v>16950</v>
      </c>
      <c r="I12" t="s">
        <v>23</v>
      </c>
      <c r="J12" s="8">
        <f t="shared" si="0"/>
        <v>208047.14</v>
      </c>
      <c r="K12" t="s">
        <v>62</v>
      </c>
      <c r="L12" s="6"/>
      <c r="M12">
        <v>0</v>
      </c>
      <c r="N12" s="9" t="s">
        <v>74</v>
      </c>
      <c r="O12" t="s">
        <v>75</v>
      </c>
      <c r="P12" s="10">
        <v>12.14</v>
      </c>
      <c r="Q12" s="3">
        <v>45392</v>
      </c>
      <c r="R12" s="11">
        <v>45399</v>
      </c>
      <c r="S12" t="s">
        <v>45</v>
      </c>
    </row>
    <row r="13" spans="1:19" x14ac:dyDescent="0.3">
      <c r="A13" s="1">
        <v>45485</v>
      </c>
      <c r="B13" s="6" t="s">
        <v>19</v>
      </c>
      <c r="C13" t="s">
        <v>30</v>
      </c>
      <c r="D13" s="6">
        <v>19</v>
      </c>
      <c r="E13" s="4">
        <v>12999</v>
      </c>
      <c r="F13" s="6" t="s">
        <v>57</v>
      </c>
      <c r="G13" t="s">
        <v>32</v>
      </c>
      <c r="H13" s="7">
        <v>18470</v>
      </c>
      <c r="I13" t="s">
        <v>23</v>
      </c>
      <c r="J13" s="8">
        <f t="shared" si="0"/>
        <v>228555.89</v>
      </c>
      <c r="K13" t="s">
        <v>34</v>
      </c>
      <c r="L13" s="6"/>
      <c r="M13">
        <v>1</v>
      </c>
      <c r="N13" s="9" t="s">
        <v>76</v>
      </c>
      <c r="O13" t="s">
        <v>77</v>
      </c>
      <c r="P13" s="10">
        <v>44.89</v>
      </c>
      <c r="Q13" s="3">
        <v>45485</v>
      </c>
      <c r="R13" s="11">
        <v>45491</v>
      </c>
      <c r="S13" t="s">
        <v>28</v>
      </c>
    </row>
    <row r="14" spans="1:19" x14ac:dyDescent="0.3">
      <c r="A14" s="1">
        <v>45128</v>
      </c>
      <c r="B14" s="6" t="s">
        <v>46</v>
      </c>
      <c r="C14" t="s">
        <v>30</v>
      </c>
      <c r="D14" s="6">
        <v>1</v>
      </c>
      <c r="E14" s="4">
        <v>8999</v>
      </c>
      <c r="F14" s="6" t="s">
        <v>21</v>
      </c>
      <c r="G14" t="s">
        <v>32</v>
      </c>
      <c r="H14" s="7">
        <v>390</v>
      </c>
      <c r="I14" t="s">
        <v>58</v>
      </c>
      <c r="J14" s="8">
        <f t="shared" si="0"/>
        <v>8629.35</v>
      </c>
      <c r="K14" t="s">
        <v>65</v>
      </c>
      <c r="L14" s="6" t="s">
        <v>42</v>
      </c>
      <c r="M14">
        <v>0</v>
      </c>
      <c r="N14" s="9" t="s">
        <v>78</v>
      </c>
      <c r="O14" t="s">
        <v>79</v>
      </c>
      <c r="P14" s="10">
        <v>20.350000000000001</v>
      </c>
      <c r="Q14" s="3">
        <v>45128</v>
      </c>
      <c r="R14" s="11">
        <v>45138</v>
      </c>
      <c r="S14" t="s">
        <v>51</v>
      </c>
    </row>
    <row r="15" spans="1:19" x14ac:dyDescent="0.3">
      <c r="A15" s="1">
        <v>45675</v>
      </c>
      <c r="B15" s="6" t="s">
        <v>70</v>
      </c>
      <c r="C15" t="s">
        <v>80</v>
      </c>
      <c r="D15" s="6">
        <v>1</v>
      </c>
      <c r="E15" s="4">
        <v>24999</v>
      </c>
      <c r="F15" s="6" t="s">
        <v>31</v>
      </c>
      <c r="G15" t="s">
        <v>22</v>
      </c>
      <c r="H15" s="7">
        <v>980</v>
      </c>
      <c r="I15" t="s">
        <v>53</v>
      </c>
      <c r="J15" s="8">
        <f t="shared" si="0"/>
        <v>24061.82</v>
      </c>
      <c r="K15" t="s">
        <v>62</v>
      </c>
      <c r="L15" s="6"/>
      <c r="M15">
        <v>0</v>
      </c>
      <c r="N15" s="9" t="s">
        <v>81</v>
      </c>
      <c r="O15" t="s">
        <v>82</v>
      </c>
      <c r="P15" s="10">
        <v>42.82</v>
      </c>
      <c r="Q15" s="3">
        <v>45675</v>
      </c>
      <c r="R15" s="11">
        <v>45679</v>
      </c>
      <c r="S15" t="s">
        <v>73</v>
      </c>
    </row>
    <row r="16" spans="1:19" x14ac:dyDescent="0.3">
      <c r="A16" s="1">
        <v>45634</v>
      </c>
      <c r="B16" s="6" t="s">
        <v>39</v>
      </c>
      <c r="C16" t="s">
        <v>40</v>
      </c>
      <c r="D16" s="6">
        <v>15</v>
      </c>
      <c r="E16" s="4">
        <v>12999</v>
      </c>
      <c r="F16" s="6" t="s">
        <v>21</v>
      </c>
      <c r="G16" t="s">
        <v>32</v>
      </c>
      <c r="H16" s="7">
        <v>17540</v>
      </c>
      <c r="I16" t="s">
        <v>58</v>
      </c>
      <c r="J16" s="8">
        <f t="shared" si="0"/>
        <v>177484.66</v>
      </c>
      <c r="K16" t="s">
        <v>62</v>
      </c>
      <c r="L16" s="6"/>
      <c r="M16">
        <v>0</v>
      </c>
      <c r="N16" s="9" t="s">
        <v>83</v>
      </c>
      <c r="O16" t="s">
        <v>84</v>
      </c>
      <c r="P16" s="10">
        <v>39.659999999999997</v>
      </c>
      <c r="Q16" s="3">
        <v>45634</v>
      </c>
      <c r="R16" s="11">
        <v>45641</v>
      </c>
      <c r="S16" t="s">
        <v>45</v>
      </c>
    </row>
    <row r="17" spans="1:19" x14ac:dyDescent="0.3">
      <c r="A17" s="1">
        <v>45788</v>
      </c>
      <c r="B17" s="6" t="s">
        <v>70</v>
      </c>
      <c r="C17" t="s">
        <v>47</v>
      </c>
      <c r="D17" s="6">
        <v>17</v>
      </c>
      <c r="E17" s="4">
        <v>7999</v>
      </c>
      <c r="F17" s="6" t="s">
        <v>31</v>
      </c>
      <c r="G17" t="s">
        <v>22</v>
      </c>
      <c r="H17" s="7">
        <v>9850</v>
      </c>
      <c r="I17" t="s">
        <v>23</v>
      </c>
      <c r="J17" s="8">
        <f t="shared" si="0"/>
        <v>126141.11</v>
      </c>
      <c r="K17" t="s">
        <v>34</v>
      </c>
      <c r="L17" s="6" t="s">
        <v>25</v>
      </c>
      <c r="M17">
        <v>0</v>
      </c>
      <c r="N17" s="9" t="s">
        <v>85</v>
      </c>
      <c r="O17" t="s">
        <v>86</v>
      </c>
      <c r="P17" s="10">
        <v>8.11</v>
      </c>
      <c r="Q17" s="3">
        <v>45788</v>
      </c>
      <c r="R17" s="11">
        <v>45794</v>
      </c>
      <c r="S17" t="s">
        <v>73</v>
      </c>
    </row>
    <row r="18" spans="1:19" x14ac:dyDescent="0.3">
      <c r="A18" s="1">
        <v>44983</v>
      </c>
      <c r="B18" s="6" t="s">
        <v>70</v>
      </c>
      <c r="C18" t="s">
        <v>20</v>
      </c>
      <c r="D18" s="6">
        <v>19</v>
      </c>
      <c r="E18" s="4">
        <v>45999</v>
      </c>
      <c r="F18" s="6" t="s">
        <v>57</v>
      </c>
      <c r="G18" t="s">
        <v>22</v>
      </c>
      <c r="H18" s="7">
        <v>35240</v>
      </c>
      <c r="I18" t="s">
        <v>23</v>
      </c>
      <c r="J18" s="8">
        <f t="shared" si="0"/>
        <v>838775.11</v>
      </c>
      <c r="K18" t="s">
        <v>24</v>
      </c>
      <c r="L18" s="6" t="s">
        <v>42</v>
      </c>
      <c r="M18">
        <v>0</v>
      </c>
      <c r="N18" s="9" t="s">
        <v>87</v>
      </c>
      <c r="O18" t="s">
        <v>88</v>
      </c>
      <c r="P18" s="10">
        <v>34.11</v>
      </c>
      <c r="Q18" s="3">
        <v>44983</v>
      </c>
      <c r="R18" s="11">
        <v>44989</v>
      </c>
      <c r="S18" t="s">
        <v>73</v>
      </c>
    </row>
    <row r="19" spans="1:19" x14ac:dyDescent="0.3">
      <c r="A19" s="1">
        <v>45440</v>
      </c>
      <c r="B19" s="6" t="s">
        <v>46</v>
      </c>
      <c r="C19" t="s">
        <v>40</v>
      </c>
      <c r="D19" s="6">
        <v>11</v>
      </c>
      <c r="E19" s="4">
        <v>18999</v>
      </c>
      <c r="F19" s="6" t="s">
        <v>57</v>
      </c>
      <c r="G19" t="s">
        <v>32</v>
      </c>
      <c r="H19" s="7">
        <v>8710</v>
      </c>
      <c r="I19" t="s">
        <v>58</v>
      </c>
      <c r="J19" s="8">
        <f t="shared" si="0"/>
        <v>200313.71</v>
      </c>
      <c r="K19" t="s">
        <v>65</v>
      </c>
      <c r="L19" s="6" t="s">
        <v>35</v>
      </c>
      <c r="M19">
        <v>0</v>
      </c>
      <c r="N19" s="9" t="s">
        <v>89</v>
      </c>
      <c r="O19" t="s">
        <v>90</v>
      </c>
      <c r="P19" s="10">
        <v>34.71</v>
      </c>
      <c r="Q19" s="3">
        <v>45440</v>
      </c>
      <c r="R19" s="11">
        <v>45444</v>
      </c>
      <c r="S19" t="s">
        <v>51</v>
      </c>
    </row>
    <row r="20" spans="1:19" x14ac:dyDescent="0.3">
      <c r="A20" s="1">
        <v>45260</v>
      </c>
      <c r="B20" s="6" t="s">
        <v>19</v>
      </c>
      <c r="C20" t="s">
        <v>30</v>
      </c>
      <c r="D20" s="6">
        <v>20</v>
      </c>
      <c r="E20" s="4">
        <v>12999</v>
      </c>
      <c r="F20" s="6" t="s">
        <v>21</v>
      </c>
      <c r="G20" t="s">
        <v>32</v>
      </c>
      <c r="H20" s="7">
        <v>4681</v>
      </c>
      <c r="I20" t="s">
        <v>53</v>
      </c>
      <c r="J20" s="8">
        <f t="shared" si="0"/>
        <v>255318.43</v>
      </c>
      <c r="K20" t="s">
        <v>34</v>
      </c>
      <c r="L20" s="6" t="s">
        <v>25</v>
      </c>
      <c r="M20">
        <v>0</v>
      </c>
      <c r="N20" s="9" t="s">
        <v>91</v>
      </c>
      <c r="O20" t="s">
        <v>92</v>
      </c>
      <c r="P20" s="10">
        <v>19.43</v>
      </c>
      <c r="Q20" s="3">
        <v>45260</v>
      </c>
      <c r="R20" s="11">
        <v>45268</v>
      </c>
      <c r="S20" t="s">
        <v>28</v>
      </c>
    </row>
    <row r="21" spans="1:19" x14ac:dyDescent="0.3">
      <c r="A21" s="1">
        <v>45099</v>
      </c>
      <c r="B21" s="6" t="s">
        <v>70</v>
      </c>
      <c r="C21" t="s">
        <v>40</v>
      </c>
      <c r="D21" s="6">
        <v>14</v>
      </c>
      <c r="E21" s="4">
        <v>7999</v>
      </c>
      <c r="F21" s="6" t="s">
        <v>21</v>
      </c>
      <c r="G21" t="s">
        <v>32</v>
      </c>
      <c r="H21" s="7">
        <v>7960</v>
      </c>
      <c r="I21" t="s">
        <v>53</v>
      </c>
      <c r="J21" s="8">
        <f t="shared" si="0"/>
        <v>104033.1</v>
      </c>
      <c r="K21" t="s">
        <v>24</v>
      </c>
      <c r="L21" s="6" t="s">
        <v>42</v>
      </c>
      <c r="M21">
        <v>1</v>
      </c>
      <c r="N21" s="9" t="s">
        <v>93</v>
      </c>
      <c r="O21" t="s">
        <v>94</v>
      </c>
      <c r="P21" s="10">
        <v>7.1</v>
      </c>
      <c r="Q21" s="3">
        <v>45099</v>
      </c>
      <c r="R21" s="11">
        <v>45109</v>
      </c>
      <c r="S21" t="s">
        <v>73</v>
      </c>
    </row>
    <row r="22" spans="1:19" x14ac:dyDescent="0.3">
      <c r="A22" s="1">
        <v>45813</v>
      </c>
      <c r="B22" s="6" t="s">
        <v>70</v>
      </c>
      <c r="C22" t="s">
        <v>30</v>
      </c>
      <c r="D22" s="6">
        <v>10</v>
      </c>
      <c r="E22" s="4">
        <v>15999</v>
      </c>
      <c r="F22" s="6" t="s">
        <v>57</v>
      </c>
      <c r="G22" t="s">
        <v>22</v>
      </c>
      <c r="H22" s="7">
        <v>8130</v>
      </c>
      <c r="I22" t="s">
        <v>58</v>
      </c>
      <c r="J22" s="8">
        <f t="shared" si="0"/>
        <v>151888.43</v>
      </c>
      <c r="K22" t="s">
        <v>24</v>
      </c>
      <c r="L22" s="6"/>
      <c r="M22">
        <v>0</v>
      </c>
      <c r="N22" s="9" t="s">
        <v>95</v>
      </c>
      <c r="O22" t="s">
        <v>96</v>
      </c>
      <c r="P22" s="10">
        <v>28.43</v>
      </c>
      <c r="Q22" s="3">
        <v>45813</v>
      </c>
      <c r="R22" s="11">
        <v>45816</v>
      </c>
      <c r="S22" t="s">
        <v>73</v>
      </c>
    </row>
    <row r="23" spans="1:19" x14ac:dyDescent="0.3">
      <c r="A23" s="1">
        <v>44988</v>
      </c>
      <c r="B23" s="6" t="s">
        <v>46</v>
      </c>
      <c r="C23" t="s">
        <v>47</v>
      </c>
      <c r="D23" s="6">
        <v>14</v>
      </c>
      <c r="E23" s="4">
        <v>7999</v>
      </c>
      <c r="F23" s="6" t="s">
        <v>31</v>
      </c>
      <c r="G23" t="s">
        <v>32</v>
      </c>
      <c r="H23" s="7">
        <v>4620</v>
      </c>
      <c r="I23" t="s">
        <v>23</v>
      </c>
      <c r="J23" s="8">
        <f t="shared" si="0"/>
        <v>107412.83</v>
      </c>
      <c r="K23" t="s">
        <v>24</v>
      </c>
      <c r="L23" s="6"/>
      <c r="M23">
        <v>1</v>
      </c>
      <c r="N23" s="9" t="s">
        <v>97</v>
      </c>
      <c r="O23" t="s">
        <v>98</v>
      </c>
      <c r="P23" s="10">
        <v>46.83</v>
      </c>
      <c r="Q23" s="3">
        <v>44988</v>
      </c>
      <c r="R23" s="11">
        <v>44993</v>
      </c>
      <c r="S23" t="s">
        <v>51</v>
      </c>
    </row>
    <row r="24" spans="1:19" x14ac:dyDescent="0.3">
      <c r="A24" s="1">
        <v>45340</v>
      </c>
      <c r="B24" s="6" t="s">
        <v>39</v>
      </c>
      <c r="C24" t="s">
        <v>20</v>
      </c>
      <c r="D24" s="6">
        <v>14</v>
      </c>
      <c r="E24" s="4">
        <v>44999</v>
      </c>
      <c r="F24" s="6" t="s">
        <v>52</v>
      </c>
      <c r="G24" t="s">
        <v>32</v>
      </c>
      <c r="H24" s="7">
        <v>15690</v>
      </c>
      <c r="I24" t="s">
        <v>53</v>
      </c>
      <c r="J24" s="8">
        <f t="shared" si="0"/>
        <v>614332.44999999995</v>
      </c>
      <c r="K24" t="s">
        <v>65</v>
      </c>
      <c r="L24" s="6" t="s">
        <v>25</v>
      </c>
      <c r="M24">
        <v>1</v>
      </c>
      <c r="N24" s="9" t="s">
        <v>99</v>
      </c>
      <c r="O24" t="s">
        <v>100</v>
      </c>
      <c r="P24" s="10">
        <v>36.450000000000003</v>
      </c>
      <c r="Q24" s="3">
        <v>45340</v>
      </c>
      <c r="R24" s="11">
        <v>45344</v>
      </c>
      <c r="S24" t="s">
        <v>45</v>
      </c>
    </row>
    <row r="25" spans="1:19" x14ac:dyDescent="0.3">
      <c r="A25" s="1">
        <v>45144</v>
      </c>
      <c r="B25" s="6" t="s">
        <v>46</v>
      </c>
      <c r="C25" t="s">
        <v>20</v>
      </c>
      <c r="D25" s="6">
        <v>12</v>
      </c>
      <c r="E25" s="4">
        <v>52999</v>
      </c>
      <c r="F25" s="6" t="s">
        <v>57</v>
      </c>
      <c r="G25" t="s">
        <v>32</v>
      </c>
      <c r="H25" s="7">
        <v>16240</v>
      </c>
      <c r="I25" t="s">
        <v>58</v>
      </c>
      <c r="J25" s="8">
        <f t="shared" si="0"/>
        <v>619775.97</v>
      </c>
      <c r="K25" t="s">
        <v>59</v>
      </c>
      <c r="L25" s="6"/>
      <c r="M25">
        <v>0</v>
      </c>
      <c r="N25" s="9" t="s">
        <v>101</v>
      </c>
      <c r="O25" t="s">
        <v>102</v>
      </c>
      <c r="P25" s="10">
        <v>27.97</v>
      </c>
      <c r="Q25" s="3">
        <v>45144</v>
      </c>
      <c r="R25" s="11">
        <v>45152</v>
      </c>
      <c r="S25" t="s">
        <v>51</v>
      </c>
    </row>
    <row r="26" spans="1:19" x14ac:dyDescent="0.3">
      <c r="A26" s="1">
        <v>45435</v>
      </c>
      <c r="B26" s="6" t="s">
        <v>39</v>
      </c>
      <c r="C26" t="s">
        <v>40</v>
      </c>
      <c r="D26" s="6">
        <v>5</v>
      </c>
      <c r="E26" s="4">
        <v>18999</v>
      </c>
      <c r="F26" s="6" t="s">
        <v>31</v>
      </c>
      <c r="G26" t="s">
        <v>22</v>
      </c>
      <c r="H26" s="7">
        <v>6520</v>
      </c>
      <c r="I26" t="s">
        <v>23</v>
      </c>
      <c r="J26" s="8">
        <f t="shared" si="0"/>
        <v>88521.69</v>
      </c>
      <c r="K26" t="s">
        <v>59</v>
      </c>
      <c r="L26" s="6" t="s">
        <v>25</v>
      </c>
      <c r="M26">
        <v>0</v>
      </c>
      <c r="N26" s="9" t="s">
        <v>103</v>
      </c>
      <c r="O26" t="s">
        <v>104</v>
      </c>
      <c r="P26" s="10">
        <v>46.69</v>
      </c>
      <c r="Q26" s="3">
        <v>45435</v>
      </c>
      <c r="R26" s="11">
        <v>45442</v>
      </c>
      <c r="S26" t="s">
        <v>45</v>
      </c>
    </row>
    <row r="27" spans="1:19" x14ac:dyDescent="0.3">
      <c r="A27" s="1">
        <v>45222</v>
      </c>
      <c r="B27" s="6" t="s">
        <v>19</v>
      </c>
      <c r="C27" t="s">
        <v>30</v>
      </c>
      <c r="D27" s="6">
        <v>13</v>
      </c>
      <c r="E27" s="4">
        <v>15999</v>
      </c>
      <c r="F27" s="6" t="s">
        <v>57</v>
      </c>
      <c r="G27" t="s">
        <v>32</v>
      </c>
      <c r="H27" s="7">
        <v>6840</v>
      </c>
      <c r="I27" t="s">
        <v>58</v>
      </c>
      <c r="J27" s="8">
        <f t="shared" si="0"/>
        <v>201185.13</v>
      </c>
      <c r="K27" t="s">
        <v>34</v>
      </c>
      <c r="L27" s="6" t="s">
        <v>35</v>
      </c>
      <c r="M27">
        <v>0</v>
      </c>
      <c r="N27" s="9" t="s">
        <v>105</v>
      </c>
      <c r="O27" t="s">
        <v>106</v>
      </c>
      <c r="P27" s="10">
        <v>38.130000000000003</v>
      </c>
      <c r="Q27" s="3">
        <v>45222</v>
      </c>
      <c r="R27" s="11">
        <v>45227</v>
      </c>
      <c r="S27" t="s">
        <v>28</v>
      </c>
    </row>
    <row r="28" spans="1:19" x14ac:dyDescent="0.3">
      <c r="A28" s="1">
        <v>45824</v>
      </c>
      <c r="B28" s="6" t="s">
        <v>70</v>
      </c>
      <c r="C28" t="s">
        <v>30</v>
      </c>
      <c r="D28" s="6">
        <v>1</v>
      </c>
      <c r="E28" s="4">
        <v>8999</v>
      </c>
      <c r="F28" s="6" t="s">
        <v>57</v>
      </c>
      <c r="G28" t="s">
        <v>32</v>
      </c>
      <c r="H28" s="7">
        <v>0</v>
      </c>
      <c r="I28" t="s">
        <v>48</v>
      </c>
      <c r="J28" s="8">
        <f t="shared" si="0"/>
        <v>9010.59</v>
      </c>
      <c r="K28" t="s">
        <v>62</v>
      </c>
      <c r="L28" s="6" t="s">
        <v>42</v>
      </c>
      <c r="M28">
        <v>0</v>
      </c>
      <c r="N28" s="9" t="s">
        <v>107</v>
      </c>
      <c r="O28" t="s">
        <v>108</v>
      </c>
      <c r="P28" s="10">
        <v>11.59</v>
      </c>
      <c r="Q28" s="3">
        <v>45824</v>
      </c>
      <c r="R28" s="11">
        <v>45833</v>
      </c>
      <c r="S28" t="s">
        <v>73</v>
      </c>
    </row>
    <row r="29" spans="1:19" x14ac:dyDescent="0.3">
      <c r="A29" s="1">
        <v>44988</v>
      </c>
      <c r="B29" s="6" t="s">
        <v>39</v>
      </c>
      <c r="C29" t="s">
        <v>30</v>
      </c>
      <c r="D29" s="6">
        <v>4</v>
      </c>
      <c r="E29" s="4">
        <v>14999</v>
      </c>
      <c r="F29" s="6" t="s">
        <v>21</v>
      </c>
      <c r="G29" t="s">
        <v>32</v>
      </c>
      <c r="H29" s="7">
        <v>0</v>
      </c>
      <c r="I29" t="s">
        <v>58</v>
      </c>
      <c r="J29" s="8">
        <f t="shared" si="0"/>
        <v>60020.78</v>
      </c>
      <c r="K29" t="s">
        <v>59</v>
      </c>
      <c r="L29" s="6" t="s">
        <v>25</v>
      </c>
      <c r="M29">
        <v>0</v>
      </c>
      <c r="N29" s="9" t="s">
        <v>109</v>
      </c>
      <c r="O29" t="s">
        <v>110</v>
      </c>
      <c r="P29" s="10">
        <v>24.78</v>
      </c>
      <c r="Q29" s="3">
        <v>44988</v>
      </c>
      <c r="R29" s="11">
        <v>44993</v>
      </c>
      <c r="S29" t="s">
        <v>45</v>
      </c>
    </row>
    <row r="30" spans="1:19" x14ac:dyDescent="0.3">
      <c r="A30" s="1">
        <v>45614</v>
      </c>
      <c r="B30" s="6" t="s">
        <v>29</v>
      </c>
      <c r="C30" t="s">
        <v>20</v>
      </c>
      <c r="D30" s="6">
        <v>1</v>
      </c>
      <c r="E30" s="4">
        <v>39999</v>
      </c>
      <c r="F30" s="6" t="s">
        <v>31</v>
      </c>
      <c r="G30" t="s">
        <v>32</v>
      </c>
      <c r="H30" s="7">
        <v>3150</v>
      </c>
      <c r="I30" t="s">
        <v>53</v>
      </c>
      <c r="J30" s="8">
        <f t="shared" si="0"/>
        <v>36856.61</v>
      </c>
      <c r="K30" t="s">
        <v>62</v>
      </c>
      <c r="L30" s="6" t="s">
        <v>35</v>
      </c>
      <c r="M30">
        <v>1</v>
      </c>
      <c r="N30" s="9" t="s">
        <v>111</v>
      </c>
      <c r="O30" t="s">
        <v>90</v>
      </c>
      <c r="P30" s="10">
        <v>7.61</v>
      </c>
      <c r="Q30" s="3">
        <v>45614</v>
      </c>
      <c r="R30" s="11">
        <v>45617</v>
      </c>
      <c r="S30" t="s">
        <v>38</v>
      </c>
    </row>
    <row r="31" spans="1:19" x14ac:dyDescent="0.3">
      <c r="A31" s="1">
        <v>45055</v>
      </c>
      <c r="B31" s="6" t="s">
        <v>46</v>
      </c>
      <c r="C31" t="s">
        <v>80</v>
      </c>
      <c r="D31" s="6">
        <v>1</v>
      </c>
      <c r="E31" s="4">
        <v>24999</v>
      </c>
      <c r="F31" s="6" t="s">
        <v>31</v>
      </c>
      <c r="G31" t="s">
        <v>22</v>
      </c>
      <c r="H31" s="7">
        <v>2100</v>
      </c>
      <c r="I31" t="s">
        <v>53</v>
      </c>
      <c r="J31" s="8">
        <f t="shared" si="0"/>
        <v>22932.17</v>
      </c>
      <c r="K31" t="s">
        <v>24</v>
      </c>
      <c r="L31" s="6" t="s">
        <v>25</v>
      </c>
      <c r="M31">
        <v>0</v>
      </c>
      <c r="N31" s="9" t="s">
        <v>112</v>
      </c>
      <c r="O31" t="s">
        <v>113</v>
      </c>
      <c r="P31" s="10">
        <v>33.17</v>
      </c>
      <c r="Q31" s="3">
        <v>45055</v>
      </c>
      <c r="R31" s="11">
        <v>45063</v>
      </c>
      <c r="S31" t="s">
        <v>51</v>
      </c>
    </row>
    <row r="32" spans="1:19" x14ac:dyDescent="0.3">
      <c r="A32" s="1">
        <v>45633</v>
      </c>
      <c r="B32" s="6" t="s">
        <v>39</v>
      </c>
      <c r="C32" t="s">
        <v>80</v>
      </c>
      <c r="D32" s="6">
        <v>12</v>
      </c>
      <c r="E32" s="4">
        <v>19999</v>
      </c>
      <c r="F32" s="6" t="s">
        <v>57</v>
      </c>
      <c r="G32" t="s">
        <v>32</v>
      </c>
      <c r="H32" s="7">
        <v>0</v>
      </c>
      <c r="I32" t="s">
        <v>48</v>
      </c>
      <c r="J32" s="8">
        <f t="shared" si="0"/>
        <v>240025.38</v>
      </c>
      <c r="K32" t="s">
        <v>62</v>
      </c>
      <c r="L32" s="6" t="s">
        <v>35</v>
      </c>
      <c r="M32">
        <v>0</v>
      </c>
      <c r="N32" s="9" t="s">
        <v>114</v>
      </c>
      <c r="O32" t="s">
        <v>115</v>
      </c>
      <c r="P32" s="10">
        <v>37.380000000000003</v>
      </c>
      <c r="Q32" s="3">
        <v>45633</v>
      </c>
      <c r="R32" s="11">
        <v>45640</v>
      </c>
      <c r="S32" t="s">
        <v>45</v>
      </c>
    </row>
    <row r="33" spans="1:19" x14ac:dyDescent="0.3">
      <c r="A33" s="1">
        <v>45335</v>
      </c>
      <c r="B33" s="6" t="s">
        <v>39</v>
      </c>
      <c r="C33" t="s">
        <v>30</v>
      </c>
      <c r="D33" s="6">
        <v>7</v>
      </c>
      <c r="E33" s="4">
        <v>12999</v>
      </c>
      <c r="F33" s="6" t="s">
        <v>52</v>
      </c>
      <c r="G33" t="s">
        <v>32</v>
      </c>
      <c r="H33" s="7">
        <v>2650</v>
      </c>
      <c r="I33" t="s">
        <v>48</v>
      </c>
      <c r="J33" s="8">
        <f t="shared" si="0"/>
        <v>88355.35</v>
      </c>
      <c r="K33" t="s">
        <v>24</v>
      </c>
      <c r="L33" s="6" t="s">
        <v>35</v>
      </c>
      <c r="M33">
        <v>0</v>
      </c>
      <c r="N33" s="9" t="s">
        <v>116</v>
      </c>
      <c r="O33" t="s">
        <v>117</v>
      </c>
      <c r="P33" s="10">
        <v>12.35</v>
      </c>
      <c r="Q33" s="3">
        <v>45335</v>
      </c>
      <c r="R33" s="11">
        <v>45337</v>
      </c>
      <c r="S33" t="s">
        <v>45</v>
      </c>
    </row>
    <row r="34" spans="1:19" x14ac:dyDescent="0.3">
      <c r="A34" s="1">
        <v>45725</v>
      </c>
      <c r="B34" s="6" t="s">
        <v>29</v>
      </c>
      <c r="C34" t="s">
        <v>40</v>
      </c>
      <c r="D34" s="6">
        <v>6</v>
      </c>
      <c r="E34" s="4">
        <v>7999</v>
      </c>
      <c r="F34" s="6" t="s">
        <v>52</v>
      </c>
      <c r="G34" t="s">
        <v>32</v>
      </c>
      <c r="H34" s="7">
        <v>0</v>
      </c>
      <c r="I34" t="s">
        <v>53</v>
      </c>
      <c r="J34" s="8">
        <f t="shared" si="0"/>
        <v>48015.25</v>
      </c>
      <c r="K34" t="s">
        <v>62</v>
      </c>
      <c r="L34" s="6" t="s">
        <v>42</v>
      </c>
      <c r="M34">
        <v>0</v>
      </c>
      <c r="N34" s="9" t="s">
        <v>118</v>
      </c>
      <c r="O34" t="s">
        <v>119</v>
      </c>
      <c r="P34" s="10">
        <v>21.25</v>
      </c>
      <c r="Q34" s="3">
        <v>45725</v>
      </c>
      <c r="R34" s="11">
        <v>45731</v>
      </c>
      <c r="S34" t="s">
        <v>38</v>
      </c>
    </row>
    <row r="35" spans="1:19" x14ac:dyDescent="0.3">
      <c r="A35" s="1">
        <v>45021</v>
      </c>
      <c r="B35" s="6" t="s">
        <v>46</v>
      </c>
      <c r="C35" t="s">
        <v>40</v>
      </c>
      <c r="D35" s="6">
        <v>17</v>
      </c>
      <c r="E35" s="4">
        <v>14999</v>
      </c>
      <c r="F35" s="6" t="s">
        <v>57</v>
      </c>
      <c r="G35" t="s">
        <v>32</v>
      </c>
      <c r="H35" s="7">
        <v>0</v>
      </c>
      <c r="I35" t="s">
        <v>33</v>
      </c>
      <c r="J35" s="8">
        <f t="shared" si="0"/>
        <v>255000.91</v>
      </c>
      <c r="K35" t="s">
        <v>34</v>
      </c>
      <c r="L35" s="6"/>
      <c r="M35">
        <v>0</v>
      </c>
      <c r="N35" s="9" t="s">
        <v>120</v>
      </c>
      <c r="O35" t="s">
        <v>121</v>
      </c>
      <c r="P35" s="10">
        <v>17.91</v>
      </c>
      <c r="Q35" s="3">
        <v>45021</v>
      </c>
      <c r="R35" s="11">
        <v>45027</v>
      </c>
      <c r="S35" t="s">
        <v>51</v>
      </c>
    </row>
    <row r="36" spans="1:19" x14ac:dyDescent="0.3">
      <c r="A36" s="1">
        <v>45785</v>
      </c>
      <c r="B36" s="6" t="s">
        <v>39</v>
      </c>
      <c r="C36" t="s">
        <v>56</v>
      </c>
      <c r="D36" s="6">
        <v>4</v>
      </c>
      <c r="E36" s="4">
        <v>18999</v>
      </c>
      <c r="F36" s="6" t="s">
        <v>57</v>
      </c>
      <c r="G36" t="s">
        <v>32</v>
      </c>
      <c r="H36" s="7">
        <v>3150</v>
      </c>
      <c r="I36" t="s">
        <v>58</v>
      </c>
      <c r="J36" s="8">
        <f t="shared" si="0"/>
        <v>72887.91</v>
      </c>
      <c r="K36" t="s">
        <v>24</v>
      </c>
      <c r="L36" s="6" t="s">
        <v>35</v>
      </c>
      <c r="M36">
        <v>0</v>
      </c>
      <c r="N36" s="9" t="s">
        <v>122</v>
      </c>
      <c r="O36" t="s">
        <v>123</v>
      </c>
      <c r="P36" s="10">
        <v>41.91</v>
      </c>
      <c r="Q36" s="3">
        <v>45785</v>
      </c>
      <c r="R36" s="11">
        <v>45789</v>
      </c>
      <c r="S36" t="s">
        <v>45</v>
      </c>
    </row>
    <row r="37" spans="1:19" x14ac:dyDescent="0.3">
      <c r="A37" s="1">
        <v>45172</v>
      </c>
      <c r="B37" s="6" t="s">
        <v>39</v>
      </c>
      <c r="C37" t="s">
        <v>80</v>
      </c>
      <c r="D37" s="6">
        <v>14</v>
      </c>
      <c r="E37" s="4">
        <v>14999</v>
      </c>
      <c r="F37" s="6" t="s">
        <v>52</v>
      </c>
      <c r="G37" t="s">
        <v>32</v>
      </c>
      <c r="H37" s="7">
        <v>0</v>
      </c>
      <c r="I37" t="s">
        <v>33</v>
      </c>
      <c r="J37" s="8">
        <f t="shared" si="0"/>
        <v>209998.57</v>
      </c>
      <c r="K37" t="s">
        <v>59</v>
      </c>
      <c r="L37" s="6"/>
      <c r="M37">
        <v>0</v>
      </c>
      <c r="N37" s="9" t="s">
        <v>124</v>
      </c>
      <c r="O37" t="s">
        <v>61</v>
      </c>
      <c r="P37" s="10">
        <v>12.57</v>
      </c>
      <c r="Q37" s="3">
        <v>45172</v>
      </c>
      <c r="R37" s="11">
        <v>45180</v>
      </c>
      <c r="S37" t="s">
        <v>45</v>
      </c>
    </row>
    <row r="38" spans="1:19" x14ac:dyDescent="0.3">
      <c r="A38" s="1">
        <v>45737</v>
      </c>
      <c r="B38" s="6" t="s">
        <v>46</v>
      </c>
      <c r="C38" t="s">
        <v>47</v>
      </c>
      <c r="D38" s="6">
        <v>9</v>
      </c>
      <c r="E38" s="4">
        <v>11999</v>
      </c>
      <c r="F38" s="6" t="s">
        <v>31</v>
      </c>
      <c r="G38" t="s">
        <v>32</v>
      </c>
      <c r="H38" s="7">
        <v>1050</v>
      </c>
      <c r="I38" t="s">
        <v>53</v>
      </c>
      <c r="J38" s="8">
        <f t="shared" si="0"/>
        <v>106981.29</v>
      </c>
      <c r="K38" t="s">
        <v>62</v>
      </c>
      <c r="L38" s="6" t="s">
        <v>25</v>
      </c>
      <c r="M38">
        <v>0</v>
      </c>
      <c r="N38" s="9" t="s">
        <v>125</v>
      </c>
      <c r="O38" t="s">
        <v>126</v>
      </c>
      <c r="P38" s="10">
        <v>40.29</v>
      </c>
      <c r="Q38" s="3">
        <v>45737</v>
      </c>
      <c r="R38" s="11">
        <v>45744</v>
      </c>
      <c r="S38" t="s">
        <v>51</v>
      </c>
    </row>
    <row r="39" spans="1:19" x14ac:dyDescent="0.3">
      <c r="A39" s="1">
        <v>45828</v>
      </c>
      <c r="B39" s="6" t="s">
        <v>29</v>
      </c>
      <c r="C39" t="s">
        <v>47</v>
      </c>
      <c r="D39" s="6">
        <v>7</v>
      </c>
      <c r="E39" s="4">
        <v>11999</v>
      </c>
      <c r="F39" s="6" t="s">
        <v>21</v>
      </c>
      <c r="G39" t="s">
        <v>32</v>
      </c>
      <c r="H39" s="7">
        <v>3150</v>
      </c>
      <c r="I39" t="s">
        <v>58</v>
      </c>
      <c r="J39" s="8">
        <f t="shared" si="0"/>
        <v>80877.97</v>
      </c>
      <c r="K39" t="s">
        <v>65</v>
      </c>
      <c r="L39" s="6" t="s">
        <v>35</v>
      </c>
      <c r="M39">
        <v>1</v>
      </c>
      <c r="N39" s="9" t="s">
        <v>127</v>
      </c>
      <c r="O39" t="s">
        <v>128</v>
      </c>
      <c r="P39" s="10">
        <v>34.97</v>
      </c>
      <c r="Q39" s="3">
        <v>45828</v>
      </c>
      <c r="R39" s="11">
        <v>45838</v>
      </c>
      <c r="S39" t="s">
        <v>38</v>
      </c>
    </row>
    <row r="40" spans="1:19" x14ac:dyDescent="0.3">
      <c r="A40" s="1">
        <v>45337</v>
      </c>
      <c r="B40" s="6" t="s">
        <v>46</v>
      </c>
      <c r="C40" t="s">
        <v>129</v>
      </c>
      <c r="D40" s="6">
        <v>14</v>
      </c>
      <c r="E40" s="4">
        <v>12999</v>
      </c>
      <c r="F40" s="6" t="s">
        <v>52</v>
      </c>
      <c r="G40" t="s">
        <v>32</v>
      </c>
      <c r="H40" s="7">
        <v>2100</v>
      </c>
      <c r="I40" t="s">
        <v>23</v>
      </c>
      <c r="J40" s="8">
        <f t="shared" si="0"/>
        <v>179910.77</v>
      </c>
      <c r="K40" t="s">
        <v>65</v>
      </c>
      <c r="L40" s="6"/>
      <c r="M40">
        <v>1</v>
      </c>
      <c r="N40" s="9" t="s">
        <v>130</v>
      </c>
      <c r="O40" t="s">
        <v>131</v>
      </c>
      <c r="P40" s="10">
        <v>24.77</v>
      </c>
      <c r="Q40" s="3">
        <v>45337</v>
      </c>
      <c r="R40" s="11">
        <v>45347</v>
      </c>
      <c r="S40" t="s">
        <v>51</v>
      </c>
    </row>
    <row r="41" spans="1:19" x14ac:dyDescent="0.3">
      <c r="A41" s="1">
        <v>45086</v>
      </c>
      <c r="B41" s="6" t="s">
        <v>46</v>
      </c>
      <c r="C41" t="s">
        <v>20</v>
      </c>
      <c r="D41" s="6">
        <v>2</v>
      </c>
      <c r="E41" s="4">
        <v>52999</v>
      </c>
      <c r="F41" s="6" t="s">
        <v>57</v>
      </c>
      <c r="G41" t="s">
        <v>32</v>
      </c>
      <c r="H41" s="7">
        <v>3150</v>
      </c>
      <c r="I41" t="s">
        <v>33</v>
      </c>
      <c r="J41" s="8">
        <f t="shared" si="0"/>
        <v>102882.79</v>
      </c>
      <c r="K41" t="s">
        <v>34</v>
      </c>
      <c r="L41" s="6"/>
      <c r="M41">
        <v>0</v>
      </c>
      <c r="N41" s="9" t="s">
        <v>132</v>
      </c>
      <c r="O41" t="s">
        <v>133</v>
      </c>
      <c r="P41" s="10">
        <v>34.79</v>
      </c>
      <c r="Q41" s="3">
        <v>45086</v>
      </c>
      <c r="R41" s="11">
        <v>45094</v>
      </c>
      <c r="S41" t="s">
        <v>51</v>
      </c>
    </row>
    <row r="42" spans="1:19" x14ac:dyDescent="0.3">
      <c r="A42" s="1">
        <v>45148</v>
      </c>
      <c r="B42" s="6" t="s">
        <v>29</v>
      </c>
      <c r="C42" t="s">
        <v>129</v>
      </c>
      <c r="D42" s="6">
        <v>5</v>
      </c>
      <c r="E42" s="4">
        <v>12999</v>
      </c>
      <c r="F42" s="6" t="s">
        <v>31</v>
      </c>
      <c r="G42" t="s">
        <v>32</v>
      </c>
      <c r="H42" s="7">
        <v>2100</v>
      </c>
      <c r="I42" t="s">
        <v>23</v>
      </c>
      <c r="J42" s="8">
        <f t="shared" si="0"/>
        <v>62912.77</v>
      </c>
      <c r="K42" t="s">
        <v>62</v>
      </c>
      <c r="L42" s="6" t="s">
        <v>35</v>
      </c>
      <c r="M42">
        <v>0</v>
      </c>
      <c r="N42" s="9" t="s">
        <v>134</v>
      </c>
      <c r="O42" t="s">
        <v>135</v>
      </c>
      <c r="P42" s="10">
        <v>17.77</v>
      </c>
      <c r="Q42" s="3">
        <v>45148</v>
      </c>
      <c r="R42" s="11">
        <v>45152</v>
      </c>
      <c r="S42" t="s">
        <v>38</v>
      </c>
    </row>
    <row r="43" spans="1:19" x14ac:dyDescent="0.3">
      <c r="A43" s="1">
        <v>45459</v>
      </c>
      <c r="B43" s="6" t="s">
        <v>46</v>
      </c>
      <c r="C43" t="s">
        <v>129</v>
      </c>
      <c r="D43" s="6">
        <v>20</v>
      </c>
      <c r="E43" s="4">
        <v>8999</v>
      </c>
      <c r="F43" s="6" t="s">
        <v>52</v>
      </c>
      <c r="G43" t="s">
        <v>22</v>
      </c>
      <c r="H43" s="7">
        <v>1050</v>
      </c>
      <c r="I43" t="s">
        <v>23</v>
      </c>
      <c r="J43" s="8">
        <f t="shared" si="0"/>
        <v>178951.72</v>
      </c>
      <c r="K43" t="s">
        <v>34</v>
      </c>
      <c r="L43" s="6" t="s">
        <v>25</v>
      </c>
      <c r="M43">
        <v>0</v>
      </c>
      <c r="N43" s="9" t="s">
        <v>136</v>
      </c>
      <c r="O43" t="s">
        <v>137</v>
      </c>
      <c r="P43" s="10">
        <v>21.72</v>
      </c>
      <c r="Q43" s="3">
        <v>45459</v>
      </c>
      <c r="R43" s="11">
        <v>45468</v>
      </c>
      <c r="S43" t="s">
        <v>51</v>
      </c>
    </row>
    <row r="44" spans="1:19" x14ac:dyDescent="0.3">
      <c r="A44" s="1">
        <v>45130</v>
      </c>
      <c r="B44" s="6" t="s">
        <v>29</v>
      </c>
      <c r="C44" t="s">
        <v>20</v>
      </c>
      <c r="D44" s="6">
        <v>12</v>
      </c>
      <c r="E44" s="4">
        <v>39999</v>
      </c>
      <c r="F44" s="6" t="s">
        <v>31</v>
      </c>
      <c r="G44" t="s">
        <v>32</v>
      </c>
      <c r="H44" s="7">
        <v>0</v>
      </c>
      <c r="I44" t="s">
        <v>23</v>
      </c>
      <c r="J44" s="8">
        <f t="shared" si="0"/>
        <v>480022.85</v>
      </c>
      <c r="K44" t="s">
        <v>24</v>
      </c>
      <c r="L44" s="6" t="s">
        <v>42</v>
      </c>
      <c r="M44">
        <v>0</v>
      </c>
      <c r="N44" s="9" t="s">
        <v>138</v>
      </c>
      <c r="O44" t="s">
        <v>139</v>
      </c>
      <c r="P44" s="10">
        <v>34.85</v>
      </c>
      <c r="Q44" s="3">
        <v>45130</v>
      </c>
      <c r="R44" s="11">
        <v>45133</v>
      </c>
      <c r="S44" t="s">
        <v>38</v>
      </c>
    </row>
    <row r="45" spans="1:19" x14ac:dyDescent="0.3">
      <c r="A45" s="1">
        <v>45066</v>
      </c>
      <c r="B45" s="6" t="s">
        <v>46</v>
      </c>
      <c r="C45" t="s">
        <v>129</v>
      </c>
      <c r="D45" s="6">
        <v>4</v>
      </c>
      <c r="E45" s="4">
        <v>14999</v>
      </c>
      <c r="F45" s="6" t="s">
        <v>57</v>
      </c>
      <c r="G45" t="s">
        <v>22</v>
      </c>
      <c r="H45" s="7">
        <v>3150</v>
      </c>
      <c r="I45" t="s">
        <v>53</v>
      </c>
      <c r="J45" s="8">
        <f t="shared" si="0"/>
        <v>56873.39</v>
      </c>
      <c r="K45" t="s">
        <v>34</v>
      </c>
      <c r="L45" s="6" t="s">
        <v>42</v>
      </c>
      <c r="M45">
        <v>1</v>
      </c>
      <c r="N45" s="9" t="s">
        <v>140</v>
      </c>
      <c r="O45" t="s">
        <v>141</v>
      </c>
      <c r="P45" s="10">
        <v>27.39</v>
      </c>
      <c r="Q45" s="3">
        <v>45066</v>
      </c>
      <c r="R45" s="11">
        <v>45073</v>
      </c>
      <c r="S45" t="s">
        <v>51</v>
      </c>
    </row>
    <row r="46" spans="1:19" x14ac:dyDescent="0.3">
      <c r="A46" s="1">
        <v>45107</v>
      </c>
      <c r="B46" s="6" t="s">
        <v>29</v>
      </c>
      <c r="C46" t="s">
        <v>20</v>
      </c>
      <c r="D46" s="6">
        <v>2</v>
      </c>
      <c r="E46" s="4">
        <v>45999</v>
      </c>
      <c r="F46" s="6" t="s">
        <v>57</v>
      </c>
      <c r="G46" t="s">
        <v>32</v>
      </c>
      <c r="H46" s="7">
        <v>1050</v>
      </c>
      <c r="I46" t="s">
        <v>23</v>
      </c>
      <c r="J46" s="8">
        <f t="shared" si="0"/>
        <v>90959.62</v>
      </c>
      <c r="K46" t="s">
        <v>62</v>
      </c>
      <c r="L46" s="6" t="s">
        <v>35</v>
      </c>
      <c r="M46">
        <v>0</v>
      </c>
      <c r="N46" s="9" t="s">
        <v>142</v>
      </c>
      <c r="O46" t="s">
        <v>44</v>
      </c>
      <c r="P46" s="10">
        <v>11.62</v>
      </c>
      <c r="Q46" s="3">
        <v>45107</v>
      </c>
      <c r="R46" s="11">
        <v>45111</v>
      </c>
      <c r="S46" t="s">
        <v>38</v>
      </c>
    </row>
    <row r="47" spans="1:19" x14ac:dyDescent="0.3">
      <c r="A47" s="1">
        <v>45447</v>
      </c>
      <c r="B47" s="6" t="s">
        <v>29</v>
      </c>
      <c r="C47" t="s">
        <v>80</v>
      </c>
      <c r="D47" s="6">
        <v>16</v>
      </c>
      <c r="E47" s="4">
        <v>19999</v>
      </c>
      <c r="F47" s="6" t="s">
        <v>57</v>
      </c>
      <c r="G47" t="s">
        <v>32</v>
      </c>
      <c r="H47" s="7">
        <v>0</v>
      </c>
      <c r="I47" t="s">
        <v>33</v>
      </c>
      <c r="J47" s="8">
        <f t="shared" si="0"/>
        <v>320004.76</v>
      </c>
      <c r="K47" t="s">
        <v>24</v>
      </c>
      <c r="L47" s="6" t="s">
        <v>42</v>
      </c>
      <c r="M47">
        <v>1</v>
      </c>
      <c r="N47" s="9" t="s">
        <v>143</v>
      </c>
      <c r="O47" t="s">
        <v>84</v>
      </c>
      <c r="P47" s="10">
        <v>20.76</v>
      </c>
      <c r="Q47" s="3">
        <v>45447</v>
      </c>
      <c r="R47" s="11">
        <v>45457</v>
      </c>
      <c r="S47" t="s">
        <v>38</v>
      </c>
    </row>
    <row r="48" spans="1:19" x14ac:dyDescent="0.3">
      <c r="A48" s="1">
        <v>45691</v>
      </c>
      <c r="B48" s="6" t="s">
        <v>70</v>
      </c>
      <c r="C48" t="s">
        <v>47</v>
      </c>
      <c r="D48" s="6">
        <v>11</v>
      </c>
      <c r="E48" s="4">
        <v>7999</v>
      </c>
      <c r="F48" s="6" t="s">
        <v>31</v>
      </c>
      <c r="G48" t="s">
        <v>32</v>
      </c>
      <c r="H48" s="7">
        <v>3150</v>
      </c>
      <c r="I48" t="s">
        <v>48</v>
      </c>
      <c r="J48" s="8">
        <f t="shared" si="0"/>
        <v>84863.95</v>
      </c>
      <c r="K48" t="s">
        <v>24</v>
      </c>
      <c r="L48" s="6" t="s">
        <v>25</v>
      </c>
      <c r="M48">
        <v>0</v>
      </c>
      <c r="N48" s="9" t="s">
        <v>144</v>
      </c>
      <c r="O48" t="s">
        <v>145</v>
      </c>
      <c r="P48" s="10">
        <v>24.95</v>
      </c>
      <c r="Q48" s="3">
        <v>45691</v>
      </c>
      <c r="R48" s="11">
        <v>45693</v>
      </c>
      <c r="S48" t="s">
        <v>73</v>
      </c>
    </row>
    <row r="49" spans="1:19" x14ac:dyDescent="0.3">
      <c r="A49" s="1">
        <v>45300</v>
      </c>
      <c r="B49" s="6" t="s">
        <v>19</v>
      </c>
      <c r="C49" t="s">
        <v>80</v>
      </c>
      <c r="D49" s="6">
        <v>8</v>
      </c>
      <c r="E49" s="4">
        <v>19999</v>
      </c>
      <c r="F49" s="6" t="s">
        <v>57</v>
      </c>
      <c r="G49" t="s">
        <v>32</v>
      </c>
      <c r="H49" s="7">
        <v>3150</v>
      </c>
      <c r="I49" t="s">
        <v>48</v>
      </c>
      <c r="J49" s="8">
        <f t="shared" si="0"/>
        <v>156848.47</v>
      </c>
      <c r="K49" t="s">
        <v>34</v>
      </c>
      <c r="L49" s="6" t="s">
        <v>42</v>
      </c>
      <c r="M49">
        <v>0</v>
      </c>
      <c r="N49" s="9" t="s">
        <v>146</v>
      </c>
      <c r="O49" t="s">
        <v>147</v>
      </c>
      <c r="P49" s="10">
        <v>6.47</v>
      </c>
      <c r="Q49" s="3">
        <v>45300</v>
      </c>
      <c r="R49" s="11">
        <v>45304</v>
      </c>
      <c r="S49" t="s">
        <v>28</v>
      </c>
    </row>
    <row r="50" spans="1:19" x14ac:dyDescent="0.3">
      <c r="A50" s="1">
        <v>45365</v>
      </c>
      <c r="B50" s="6" t="s">
        <v>39</v>
      </c>
      <c r="C50" t="s">
        <v>40</v>
      </c>
      <c r="D50" s="6">
        <v>5</v>
      </c>
      <c r="E50" s="4">
        <v>14999</v>
      </c>
      <c r="F50" s="6" t="s">
        <v>31</v>
      </c>
      <c r="G50" t="s">
        <v>32</v>
      </c>
      <c r="H50" s="7">
        <v>2100</v>
      </c>
      <c r="I50" t="s">
        <v>23</v>
      </c>
      <c r="J50" s="8">
        <f t="shared" si="0"/>
        <v>72915.570000000007</v>
      </c>
      <c r="K50" t="s">
        <v>34</v>
      </c>
      <c r="L50" s="6"/>
      <c r="M50">
        <v>0</v>
      </c>
      <c r="N50" s="9" t="s">
        <v>148</v>
      </c>
      <c r="O50" t="s">
        <v>149</v>
      </c>
      <c r="P50" s="10">
        <v>20.57</v>
      </c>
      <c r="Q50" s="3">
        <v>45365</v>
      </c>
      <c r="R50" s="11">
        <v>45367</v>
      </c>
      <c r="S50" t="s">
        <v>45</v>
      </c>
    </row>
    <row r="51" spans="1:19" x14ac:dyDescent="0.3">
      <c r="A51" s="1">
        <v>45541</v>
      </c>
      <c r="B51" s="6" t="s">
        <v>70</v>
      </c>
      <c r="C51" t="s">
        <v>56</v>
      </c>
      <c r="D51" s="6">
        <v>14</v>
      </c>
      <c r="E51" s="4">
        <v>18999</v>
      </c>
      <c r="F51" s="6" t="s">
        <v>57</v>
      </c>
      <c r="G51" t="s">
        <v>22</v>
      </c>
      <c r="H51" s="7">
        <v>3150</v>
      </c>
      <c r="I51" t="s">
        <v>33</v>
      </c>
      <c r="J51" s="8">
        <f t="shared" si="0"/>
        <v>262856.71000000002</v>
      </c>
      <c r="K51" t="s">
        <v>65</v>
      </c>
      <c r="L51" s="6" t="s">
        <v>42</v>
      </c>
      <c r="M51">
        <v>1</v>
      </c>
      <c r="N51" s="9" t="s">
        <v>150</v>
      </c>
      <c r="O51" t="s">
        <v>106</v>
      </c>
      <c r="P51" s="10">
        <v>20.71</v>
      </c>
      <c r="Q51" s="3">
        <v>45541</v>
      </c>
      <c r="R51" s="11">
        <v>45548</v>
      </c>
      <c r="S51" t="s">
        <v>73</v>
      </c>
    </row>
    <row r="52" spans="1:19" x14ac:dyDescent="0.3">
      <c r="A52" s="1">
        <v>45002</v>
      </c>
      <c r="B52" s="6" t="s">
        <v>19</v>
      </c>
      <c r="C52" t="s">
        <v>56</v>
      </c>
      <c r="D52" s="6">
        <v>13</v>
      </c>
      <c r="E52" s="4">
        <v>11999</v>
      </c>
      <c r="F52" s="6" t="s">
        <v>31</v>
      </c>
      <c r="G52" t="s">
        <v>22</v>
      </c>
      <c r="H52" s="7">
        <v>2100</v>
      </c>
      <c r="I52" t="s">
        <v>48</v>
      </c>
      <c r="J52" s="8">
        <f t="shared" si="0"/>
        <v>153899.87</v>
      </c>
      <c r="K52" t="s">
        <v>65</v>
      </c>
      <c r="L52" s="6" t="s">
        <v>42</v>
      </c>
      <c r="M52">
        <v>0</v>
      </c>
      <c r="N52" s="9" t="s">
        <v>151</v>
      </c>
      <c r="O52" t="s">
        <v>152</v>
      </c>
      <c r="P52" s="10">
        <v>12.87</v>
      </c>
      <c r="Q52" s="3">
        <v>45002</v>
      </c>
      <c r="R52" s="11">
        <v>45005</v>
      </c>
      <c r="S52" t="s">
        <v>28</v>
      </c>
    </row>
    <row r="53" spans="1:19" x14ac:dyDescent="0.3">
      <c r="A53" s="1">
        <v>45674</v>
      </c>
      <c r="B53" s="6" t="s">
        <v>70</v>
      </c>
      <c r="C53" t="s">
        <v>47</v>
      </c>
      <c r="D53" s="6">
        <v>2</v>
      </c>
      <c r="E53" s="4">
        <v>11999</v>
      </c>
      <c r="F53" s="6" t="s">
        <v>52</v>
      </c>
      <c r="G53" t="s">
        <v>22</v>
      </c>
      <c r="H53" s="7">
        <v>0</v>
      </c>
      <c r="I53" t="s">
        <v>33</v>
      </c>
      <c r="J53" s="8">
        <f t="shared" si="0"/>
        <v>24040.49</v>
      </c>
      <c r="K53" t="s">
        <v>62</v>
      </c>
      <c r="L53" s="6" t="s">
        <v>25</v>
      </c>
      <c r="M53">
        <v>0</v>
      </c>
      <c r="N53" s="9" t="s">
        <v>153</v>
      </c>
      <c r="O53" t="s">
        <v>154</v>
      </c>
      <c r="P53" s="10">
        <v>42.49</v>
      </c>
      <c r="Q53" s="3">
        <v>45674</v>
      </c>
      <c r="R53" s="11">
        <v>45681</v>
      </c>
      <c r="S53" t="s">
        <v>73</v>
      </c>
    </row>
    <row r="54" spans="1:19" x14ac:dyDescent="0.3">
      <c r="A54" s="1">
        <v>45547</v>
      </c>
      <c r="B54" s="6" t="s">
        <v>29</v>
      </c>
      <c r="C54" t="s">
        <v>20</v>
      </c>
      <c r="D54" s="6">
        <v>1</v>
      </c>
      <c r="E54" s="4">
        <v>45999</v>
      </c>
      <c r="F54" s="6" t="s">
        <v>21</v>
      </c>
      <c r="G54" t="s">
        <v>22</v>
      </c>
      <c r="H54" s="7">
        <v>2100</v>
      </c>
      <c r="I54" t="s">
        <v>23</v>
      </c>
      <c r="J54" s="8">
        <f t="shared" si="0"/>
        <v>43918.22</v>
      </c>
      <c r="K54" t="s">
        <v>65</v>
      </c>
      <c r="L54" s="6" t="s">
        <v>42</v>
      </c>
      <c r="M54">
        <v>1</v>
      </c>
      <c r="N54" s="9" t="s">
        <v>155</v>
      </c>
      <c r="O54" t="s">
        <v>156</v>
      </c>
      <c r="P54" s="10">
        <v>19.22</v>
      </c>
      <c r="Q54" s="3">
        <v>45547</v>
      </c>
      <c r="R54" s="11">
        <v>45553</v>
      </c>
      <c r="S54" t="s">
        <v>38</v>
      </c>
    </row>
    <row r="55" spans="1:19" x14ac:dyDescent="0.3">
      <c r="A55" s="1">
        <v>45296</v>
      </c>
      <c r="B55" s="6" t="s">
        <v>29</v>
      </c>
      <c r="C55" t="s">
        <v>56</v>
      </c>
      <c r="D55" s="6">
        <v>2</v>
      </c>
      <c r="E55" s="4">
        <v>15999</v>
      </c>
      <c r="F55" s="6" t="s">
        <v>21</v>
      </c>
      <c r="G55" t="s">
        <v>22</v>
      </c>
      <c r="H55" s="7">
        <v>1050</v>
      </c>
      <c r="I55" t="s">
        <v>23</v>
      </c>
      <c r="J55" s="8">
        <f t="shared" si="0"/>
        <v>30984.51</v>
      </c>
      <c r="K55" t="s">
        <v>59</v>
      </c>
      <c r="L55" s="6" t="s">
        <v>35</v>
      </c>
      <c r="M55">
        <v>0</v>
      </c>
      <c r="N55" s="9" t="s">
        <v>157</v>
      </c>
      <c r="O55" t="s">
        <v>158</v>
      </c>
      <c r="P55" s="10">
        <v>36.51</v>
      </c>
      <c r="Q55" s="3">
        <v>45296</v>
      </c>
      <c r="R55" s="11">
        <v>45306</v>
      </c>
      <c r="S55" t="s">
        <v>38</v>
      </c>
    </row>
    <row r="56" spans="1:19" x14ac:dyDescent="0.3">
      <c r="A56" s="1">
        <v>45401</v>
      </c>
      <c r="B56" s="6" t="s">
        <v>70</v>
      </c>
      <c r="C56" t="s">
        <v>80</v>
      </c>
      <c r="D56" s="6">
        <v>11</v>
      </c>
      <c r="E56" s="4">
        <v>19999</v>
      </c>
      <c r="F56" s="6" t="s">
        <v>31</v>
      </c>
      <c r="G56" t="s">
        <v>22</v>
      </c>
      <c r="H56" s="7">
        <v>3150</v>
      </c>
      <c r="I56" t="s">
        <v>58</v>
      </c>
      <c r="J56" s="8">
        <f t="shared" si="0"/>
        <v>216876.39</v>
      </c>
      <c r="K56" t="s">
        <v>24</v>
      </c>
      <c r="L56" s="6"/>
      <c r="M56">
        <v>0</v>
      </c>
      <c r="N56" s="9" t="s">
        <v>159</v>
      </c>
      <c r="O56" t="s">
        <v>160</v>
      </c>
      <c r="P56" s="10">
        <v>37.39</v>
      </c>
      <c r="Q56" s="3">
        <v>45401</v>
      </c>
      <c r="R56" s="11">
        <v>45407</v>
      </c>
      <c r="S56" t="s">
        <v>73</v>
      </c>
    </row>
    <row r="57" spans="1:19" x14ac:dyDescent="0.3">
      <c r="A57" s="1">
        <v>45819</v>
      </c>
      <c r="B57" s="6" t="s">
        <v>46</v>
      </c>
      <c r="C57" t="s">
        <v>80</v>
      </c>
      <c r="D57" s="6">
        <v>11</v>
      </c>
      <c r="E57" s="4">
        <v>21999</v>
      </c>
      <c r="F57" s="6" t="s">
        <v>57</v>
      </c>
      <c r="G57" t="s">
        <v>22</v>
      </c>
      <c r="H57" s="7">
        <v>1050</v>
      </c>
      <c r="I57" t="s">
        <v>23</v>
      </c>
      <c r="J57" s="8">
        <f t="shared" si="0"/>
        <v>240975.33</v>
      </c>
      <c r="K57" t="s">
        <v>59</v>
      </c>
      <c r="L57" s="6" t="s">
        <v>35</v>
      </c>
      <c r="M57">
        <v>0</v>
      </c>
      <c r="N57" s="9" t="s">
        <v>161</v>
      </c>
      <c r="O57" t="s">
        <v>162</v>
      </c>
      <c r="P57" s="10">
        <v>36.33</v>
      </c>
      <c r="Q57" s="3">
        <v>45819</v>
      </c>
      <c r="R57" s="11">
        <v>45829</v>
      </c>
      <c r="S57" t="s">
        <v>51</v>
      </c>
    </row>
    <row r="58" spans="1:19" x14ac:dyDescent="0.3">
      <c r="A58" s="1">
        <v>45722</v>
      </c>
      <c r="B58" s="6" t="s">
        <v>19</v>
      </c>
      <c r="C58" t="s">
        <v>30</v>
      </c>
      <c r="D58" s="6">
        <v>17</v>
      </c>
      <c r="E58" s="4">
        <v>12999</v>
      </c>
      <c r="F58" s="6" t="s">
        <v>21</v>
      </c>
      <c r="G58" t="s">
        <v>32</v>
      </c>
      <c r="H58" s="7">
        <v>3150</v>
      </c>
      <c r="I58" t="s">
        <v>53</v>
      </c>
      <c r="J58" s="8">
        <f t="shared" si="0"/>
        <v>217840.84</v>
      </c>
      <c r="K58" t="s">
        <v>65</v>
      </c>
      <c r="L58" s="6" t="s">
        <v>35</v>
      </c>
      <c r="M58">
        <v>0</v>
      </c>
      <c r="N58" s="9" t="s">
        <v>163</v>
      </c>
      <c r="O58" t="s">
        <v>164</v>
      </c>
      <c r="P58" s="10">
        <v>7.84</v>
      </c>
      <c r="Q58" s="3">
        <v>45722</v>
      </c>
      <c r="R58" s="11">
        <v>45731</v>
      </c>
      <c r="S58" t="s">
        <v>28</v>
      </c>
    </row>
    <row r="59" spans="1:19" x14ac:dyDescent="0.3">
      <c r="A59" s="1">
        <v>45070</v>
      </c>
      <c r="B59" s="6" t="s">
        <v>19</v>
      </c>
      <c r="C59" t="s">
        <v>47</v>
      </c>
      <c r="D59" s="6">
        <v>5</v>
      </c>
      <c r="E59" s="4">
        <v>7999</v>
      </c>
      <c r="F59" s="6" t="s">
        <v>52</v>
      </c>
      <c r="G59" t="s">
        <v>32</v>
      </c>
      <c r="H59" s="7">
        <v>2100</v>
      </c>
      <c r="I59" t="s">
        <v>23</v>
      </c>
      <c r="J59" s="8">
        <f t="shared" si="0"/>
        <v>37913.35</v>
      </c>
      <c r="K59" t="s">
        <v>34</v>
      </c>
      <c r="L59" s="6" t="s">
        <v>42</v>
      </c>
      <c r="M59">
        <v>1</v>
      </c>
      <c r="N59" s="9" t="s">
        <v>165</v>
      </c>
      <c r="O59" t="s">
        <v>166</v>
      </c>
      <c r="P59" s="10">
        <v>18.350000000000001</v>
      </c>
      <c r="Q59" s="3">
        <v>45070</v>
      </c>
      <c r="R59" s="11">
        <v>45072</v>
      </c>
      <c r="S59" t="s">
        <v>28</v>
      </c>
    </row>
    <row r="60" spans="1:19" x14ac:dyDescent="0.3">
      <c r="A60" s="1">
        <v>44953</v>
      </c>
      <c r="B60" s="6" t="s">
        <v>29</v>
      </c>
      <c r="C60" t="s">
        <v>30</v>
      </c>
      <c r="D60" s="6">
        <v>11</v>
      </c>
      <c r="E60" s="4">
        <v>14999</v>
      </c>
      <c r="F60" s="6" t="s">
        <v>21</v>
      </c>
      <c r="G60" t="s">
        <v>32</v>
      </c>
      <c r="H60" s="7">
        <v>1050</v>
      </c>
      <c r="I60" t="s">
        <v>23</v>
      </c>
      <c r="J60" s="8">
        <f t="shared" si="0"/>
        <v>163954.95000000001</v>
      </c>
      <c r="K60" t="s">
        <v>62</v>
      </c>
      <c r="L60" s="6" t="s">
        <v>42</v>
      </c>
      <c r="M60">
        <v>0</v>
      </c>
      <c r="N60" s="9" t="s">
        <v>167</v>
      </c>
      <c r="O60" t="s">
        <v>168</v>
      </c>
      <c r="P60" s="10">
        <v>15.95</v>
      </c>
      <c r="Q60" s="3">
        <v>44953</v>
      </c>
      <c r="R60" s="11">
        <v>44960</v>
      </c>
      <c r="S60" t="s">
        <v>38</v>
      </c>
    </row>
    <row r="61" spans="1:19" x14ac:dyDescent="0.3">
      <c r="A61" s="1">
        <v>45372</v>
      </c>
      <c r="B61" s="6" t="s">
        <v>29</v>
      </c>
      <c r="C61" t="s">
        <v>20</v>
      </c>
      <c r="D61" s="6">
        <v>18</v>
      </c>
      <c r="E61" s="4">
        <v>45999</v>
      </c>
      <c r="F61" s="6" t="s">
        <v>21</v>
      </c>
      <c r="G61" t="s">
        <v>22</v>
      </c>
      <c r="H61" s="7">
        <v>1050</v>
      </c>
      <c r="I61" t="s">
        <v>23</v>
      </c>
      <c r="J61" s="8">
        <f t="shared" si="0"/>
        <v>826947.69</v>
      </c>
      <c r="K61" t="s">
        <v>65</v>
      </c>
      <c r="L61" s="6" t="s">
        <v>25</v>
      </c>
      <c r="M61">
        <v>0</v>
      </c>
      <c r="N61" s="9" t="s">
        <v>169</v>
      </c>
      <c r="O61" t="s">
        <v>82</v>
      </c>
      <c r="P61" s="10">
        <v>15.69</v>
      </c>
      <c r="Q61" s="3">
        <v>45372</v>
      </c>
      <c r="R61" s="11">
        <v>45378</v>
      </c>
      <c r="S61" t="s">
        <v>38</v>
      </c>
    </row>
    <row r="62" spans="1:19" x14ac:dyDescent="0.3">
      <c r="A62" s="1">
        <v>45682</v>
      </c>
      <c r="B62" s="6" t="s">
        <v>70</v>
      </c>
      <c r="C62" t="s">
        <v>20</v>
      </c>
      <c r="D62" s="6">
        <v>20</v>
      </c>
      <c r="E62" s="4">
        <v>52999</v>
      </c>
      <c r="F62" s="6" t="s">
        <v>57</v>
      </c>
      <c r="G62" t="s">
        <v>32</v>
      </c>
      <c r="H62" s="7">
        <v>3150</v>
      </c>
      <c r="I62" t="s">
        <v>48</v>
      </c>
      <c r="J62" s="8">
        <f t="shared" si="0"/>
        <v>1056843.6599999999</v>
      </c>
      <c r="K62" t="s">
        <v>24</v>
      </c>
      <c r="L62" s="6" t="s">
        <v>35</v>
      </c>
      <c r="M62">
        <v>1</v>
      </c>
      <c r="N62" s="9" t="s">
        <v>170</v>
      </c>
      <c r="O62" t="s">
        <v>171</v>
      </c>
      <c r="P62" s="10">
        <v>13.66</v>
      </c>
      <c r="Q62" s="3">
        <v>45682</v>
      </c>
      <c r="R62" s="11">
        <v>45688</v>
      </c>
      <c r="S62" t="s">
        <v>73</v>
      </c>
    </row>
    <row r="63" spans="1:19" x14ac:dyDescent="0.3">
      <c r="A63" s="1">
        <v>45089</v>
      </c>
      <c r="B63" s="6" t="s">
        <v>46</v>
      </c>
      <c r="C63" t="s">
        <v>30</v>
      </c>
      <c r="D63" s="6">
        <v>8</v>
      </c>
      <c r="E63" s="4">
        <v>12999</v>
      </c>
      <c r="F63" s="6" t="s">
        <v>57</v>
      </c>
      <c r="G63" t="s">
        <v>32</v>
      </c>
      <c r="H63" s="7">
        <v>0</v>
      </c>
      <c r="I63" t="s">
        <v>23</v>
      </c>
      <c r="J63" s="8">
        <f t="shared" si="0"/>
        <v>104028.54</v>
      </c>
      <c r="K63" t="s">
        <v>65</v>
      </c>
      <c r="L63" s="6" t="s">
        <v>35</v>
      </c>
      <c r="M63">
        <v>0</v>
      </c>
      <c r="N63" s="9" t="s">
        <v>172</v>
      </c>
      <c r="O63" t="s">
        <v>173</v>
      </c>
      <c r="P63" s="10">
        <v>36.54</v>
      </c>
      <c r="Q63" s="3">
        <v>45089</v>
      </c>
      <c r="R63" s="11">
        <v>45098</v>
      </c>
      <c r="S63" t="s">
        <v>51</v>
      </c>
    </row>
    <row r="64" spans="1:19" x14ac:dyDescent="0.3">
      <c r="A64" s="1">
        <v>45738</v>
      </c>
      <c r="B64" s="6" t="s">
        <v>46</v>
      </c>
      <c r="C64" t="s">
        <v>47</v>
      </c>
      <c r="D64" s="6">
        <v>3</v>
      </c>
      <c r="E64" s="4">
        <v>11999</v>
      </c>
      <c r="F64" s="6" t="s">
        <v>21</v>
      </c>
      <c r="G64" t="s">
        <v>32</v>
      </c>
      <c r="H64" s="7">
        <v>2100</v>
      </c>
      <c r="I64" t="s">
        <v>33</v>
      </c>
      <c r="J64" s="8">
        <f t="shared" si="0"/>
        <v>33912.620000000003</v>
      </c>
      <c r="K64" t="s">
        <v>34</v>
      </c>
      <c r="L64" s="6"/>
      <c r="M64">
        <v>0</v>
      </c>
      <c r="N64" s="9" t="s">
        <v>174</v>
      </c>
      <c r="O64" t="s">
        <v>175</v>
      </c>
      <c r="P64" s="10">
        <v>15.62</v>
      </c>
      <c r="Q64" s="3">
        <v>45738</v>
      </c>
      <c r="R64" s="11">
        <v>45742</v>
      </c>
      <c r="S64" t="s">
        <v>51</v>
      </c>
    </row>
    <row r="65" spans="1:19" x14ac:dyDescent="0.3">
      <c r="A65" s="1">
        <v>45346</v>
      </c>
      <c r="B65" s="6" t="s">
        <v>46</v>
      </c>
      <c r="C65" t="s">
        <v>40</v>
      </c>
      <c r="D65" s="6">
        <v>16</v>
      </c>
      <c r="E65" s="4">
        <v>8999</v>
      </c>
      <c r="F65" s="6" t="s">
        <v>57</v>
      </c>
      <c r="G65" t="s">
        <v>32</v>
      </c>
      <c r="H65" s="7">
        <v>3150</v>
      </c>
      <c r="I65" t="s">
        <v>23</v>
      </c>
      <c r="J65" s="8">
        <f t="shared" si="0"/>
        <v>140863.5</v>
      </c>
      <c r="K65" t="s">
        <v>62</v>
      </c>
      <c r="L65" s="6" t="s">
        <v>25</v>
      </c>
      <c r="M65">
        <v>0</v>
      </c>
      <c r="N65" s="9" t="s">
        <v>176</v>
      </c>
      <c r="O65" t="s">
        <v>177</v>
      </c>
      <c r="P65" s="10">
        <v>29.5</v>
      </c>
      <c r="Q65" s="3">
        <v>45346</v>
      </c>
      <c r="R65" s="11">
        <v>45349</v>
      </c>
      <c r="S65" t="s">
        <v>51</v>
      </c>
    </row>
    <row r="66" spans="1:19" x14ac:dyDescent="0.3">
      <c r="A66" s="1">
        <v>45269</v>
      </c>
      <c r="B66" s="6" t="s">
        <v>29</v>
      </c>
      <c r="C66" t="s">
        <v>47</v>
      </c>
      <c r="D66" s="6">
        <v>15</v>
      </c>
      <c r="E66" s="4">
        <v>11999</v>
      </c>
      <c r="F66" s="6" t="s">
        <v>21</v>
      </c>
      <c r="G66" t="s">
        <v>22</v>
      </c>
      <c r="H66" s="7">
        <v>0</v>
      </c>
      <c r="I66" t="s">
        <v>48</v>
      </c>
      <c r="J66" s="8">
        <f t="shared" si="0"/>
        <v>180006.77</v>
      </c>
      <c r="K66" t="s">
        <v>24</v>
      </c>
      <c r="L66" s="6" t="s">
        <v>25</v>
      </c>
      <c r="M66">
        <v>0</v>
      </c>
      <c r="N66" s="9" t="s">
        <v>178</v>
      </c>
      <c r="O66" t="s">
        <v>64</v>
      </c>
      <c r="P66" s="10">
        <v>21.77</v>
      </c>
      <c r="Q66" s="3">
        <v>45269</v>
      </c>
      <c r="R66" s="11">
        <v>45272</v>
      </c>
      <c r="S66" t="s">
        <v>38</v>
      </c>
    </row>
    <row r="67" spans="1:19" x14ac:dyDescent="0.3">
      <c r="A67" s="1">
        <v>45200</v>
      </c>
      <c r="B67" s="6" t="s">
        <v>46</v>
      </c>
      <c r="C67" t="s">
        <v>56</v>
      </c>
      <c r="D67" s="6">
        <v>3</v>
      </c>
      <c r="E67" s="4">
        <v>12999</v>
      </c>
      <c r="F67" s="6" t="s">
        <v>21</v>
      </c>
      <c r="G67" t="s">
        <v>32</v>
      </c>
      <c r="H67" s="7">
        <v>2100</v>
      </c>
      <c r="I67" t="s">
        <v>48</v>
      </c>
      <c r="J67" s="8">
        <f t="shared" ref="J67:J119" si="1">D67*E67-H67+P67</f>
        <v>36919.43</v>
      </c>
      <c r="K67" t="s">
        <v>62</v>
      </c>
      <c r="L67" s="6" t="s">
        <v>25</v>
      </c>
      <c r="M67">
        <v>0</v>
      </c>
      <c r="N67" s="9" t="s">
        <v>179</v>
      </c>
      <c r="O67" t="s">
        <v>180</v>
      </c>
      <c r="P67" s="10">
        <v>22.43</v>
      </c>
      <c r="Q67" s="3">
        <v>45200</v>
      </c>
      <c r="R67" s="11">
        <v>45204</v>
      </c>
      <c r="S67" t="s">
        <v>51</v>
      </c>
    </row>
    <row r="68" spans="1:19" x14ac:dyDescent="0.3">
      <c r="A68" s="1">
        <v>45138</v>
      </c>
      <c r="B68" s="6" t="s">
        <v>70</v>
      </c>
      <c r="C68" t="s">
        <v>80</v>
      </c>
      <c r="D68" s="6">
        <v>5</v>
      </c>
      <c r="E68" s="4">
        <v>21999</v>
      </c>
      <c r="F68" s="6" t="s">
        <v>57</v>
      </c>
      <c r="G68" t="s">
        <v>22</v>
      </c>
      <c r="H68" s="7">
        <v>1050</v>
      </c>
      <c r="I68" t="s">
        <v>48</v>
      </c>
      <c r="J68" s="8">
        <f t="shared" si="1"/>
        <v>108957.24</v>
      </c>
      <c r="K68" t="s">
        <v>24</v>
      </c>
      <c r="L68" s="6"/>
      <c r="M68">
        <v>0</v>
      </c>
      <c r="N68" s="9" t="s">
        <v>181</v>
      </c>
      <c r="O68" t="s">
        <v>182</v>
      </c>
      <c r="P68" s="10">
        <v>12.24</v>
      </c>
      <c r="Q68" s="3">
        <v>45138</v>
      </c>
      <c r="R68" s="11">
        <v>45145</v>
      </c>
      <c r="S68" t="s">
        <v>73</v>
      </c>
    </row>
    <row r="69" spans="1:19" x14ac:dyDescent="0.3">
      <c r="A69" s="1">
        <v>45650</v>
      </c>
      <c r="B69" s="6" t="s">
        <v>29</v>
      </c>
      <c r="C69" t="s">
        <v>47</v>
      </c>
      <c r="D69" s="6">
        <v>8</v>
      </c>
      <c r="E69" s="4">
        <v>14999</v>
      </c>
      <c r="F69" s="6" t="s">
        <v>31</v>
      </c>
      <c r="G69" t="s">
        <v>22</v>
      </c>
      <c r="H69" s="7">
        <v>1050</v>
      </c>
      <c r="I69" t="s">
        <v>53</v>
      </c>
      <c r="J69" s="8">
        <f t="shared" si="1"/>
        <v>118983.27</v>
      </c>
      <c r="K69" t="s">
        <v>59</v>
      </c>
      <c r="L69" s="6" t="s">
        <v>42</v>
      </c>
      <c r="M69">
        <v>0</v>
      </c>
      <c r="N69" s="9" t="s">
        <v>183</v>
      </c>
      <c r="O69" t="s">
        <v>94</v>
      </c>
      <c r="P69" s="10">
        <v>41.27</v>
      </c>
      <c r="Q69" s="3">
        <v>45650</v>
      </c>
      <c r="R69" s="11">
        <v>45657</v>
      </c>
      <c r="S69" t="s">
        <v>38</v>
      </c>
    </row>
    <row r="70" spans="1:19" x14ac:dyDescent="0.3">
      <c r="A70" s="1">
        <v>45611</v>
      </c>
      <c r="B70" s="6" t="s">
        <v>39</v>
      </c>
      <c r="C70" t="s">
        <v>30</v>
      </c>
      <c r="D70" s="6">
        <v>1</v>
      </c>
      <c r="E70" s="4">
        <v>12999</v>
      </c>
      <c r="F70" s="6" t="s">
        <v>21</v>
      </c>
      <c r="G70" t="s">
        <v>32</v>
      </c>
      <c r="H70" s="7">
        <v>2100</v>
      </c>
      <c r="I70" t="s">
        <v>23</v>
      </c>
      <c r="J70" s="8">
        <f t="shared" si="1"/>
        <v>10934.14</v>
      </c>
      <c r="K70" t="s">
        <v>59</v>
      </c>
      <c r="L70" s="6" t="s">
        <v>25</v>
      </c>
      <c r="M70">
        <v>0</v>
      </c>
      <c r="N70" s="9" t="s">
        <v>184</v>
      </c>
      <c r="O70" t="s">
        <v>185</v>
      </c>
      <c r="P70" s="10">
        <v>35.14</v>
      </c>
      <c r="Q70" s="3">
        <v>45611</v>
      </c>
      <c r="R70" s="11">
        <v>45615</v>
      </c>
      <c r="S70" t="s">
        <v>45</v>
      </c>
    </row>
    <row r="71" spans="1:19" x14ac:dyDescent="0.3">
      <c r="A71" s="1">
        <v>45729</v>
      </c>
      <c r="B71" s="6" t="s">
        <v>70</v>
      </c>
      <c r="C71" t="s">
        <v>56</v>
      </c>
      <c r="D71" s="6">
        <v>16</v>
      </c>
      <c r="E71" s="4">
        <v>11999</v>
      </c>
      <c r="F71" s="6" t="s">
        <v>52</v>
      </c>
      <c r="G71" t="s">
        <v>32</v>
      </c>
      <c r="H71" s="7">
        <v>3150</v>
      </c>
      <c r="I71" t="s">
        <v>53</v>
      </c>
      <c r="J71" s="8">
        <f t="shared" si="1"/>
        <v>188842.38</v>
      </c>
      <c r="K71" t="s">
        <v>62</v>
      </c>
      <c r="L71" s="6" t="s">
        <v>35</v>
      </c>
      <c r="M71">
        <v>0</v>
      </c>
      <c r="N71" s="9" t="s">
        <v>186</v>
      </c>
      <c r="O71" t="s">
        <v>187</v>
      </c>
      <c r="P71" s="10">
        <v>8.3800000000000008</v>
      </c>
      <c r="Q71" s="3">
        <v>45729</v>
      </c>
      <c r="R71" s="11">
        <v>45738</v>
      </c>
      <c r="S71" t="s">
        <v>73</v>
      </c>
    </row>
    <row r="72" spans="1:19" x14ac:dyDescent="0.3">
      <c r="A72" s="1">
        <v>45354</v>
      </c>
      <c r="B72" s="6" t="s">
        <v>19</v>
      </c>
      <c r="C72" t="s">
        <v>80</v>
      </c>
      <c r="D72" s="6">
        <v>15</v>
      </c>
      <c r="E72" s="4">
        <v>18999</v>
      </c>
      <c r="F72" s="6" t="s">
        <v>57</v>
      </c>
      <c r="G72" t="s">
        <v>32</v>
      </c>
      <c r="H72" s="7">
        <v>3150</v>
      </c>
      <c r="I72" t="s">
        <v>33</v>
      </c>
      <c r="J72" s="8">
        <f t="shared" si="1"/>
        <v>281850.76</v>
      </c>
      <c r="K72" t="s">
        <v>34</v>
      </c>
      <c r="L72" s="6" t="s">
        <v>42</v>
      </c>
      <c r="M72">
        <v>0</v>
      </c>
      <c r="N72" s="9" t="s">
        <v>188</v>
      </c>
      <c r="O72" t="s">
        <v>189</v>
      </c>
      <c r="P72" s="10">
        <v>15.76</v>
      </c>
      <c r="Q72" s="3">
        <v>45354</v>
      </c>
      <c r="R72" s="11">
        <v>45363</v>
      </c>
      <c r="S72" t="s">
        <v>28</v>
      </c>
    </row>
    <row r="73" spans="1:19" x14ac:dyDescent="0.3">
      <c r="A73" s="1">
        <v>44968</v>
      </c>
      <c r="B73" s="6" t="s">
        <v>46</v>
      </c>
      <c r="C73" t="s">
        <v>80</v>
      </c>
      <c r="D73" s="6">
        <v>20</v>
      </c>
      <c r="E73" s="4">
        <v>21999</v>
      </c>
      <c r="F73" s="6" t="s">
        <v>31</v>
      </c>
      <c r="G73" t="s">
        <v>22</v>
      </c>
      <c r="H73" s="7">
        <v>2100</v>
      </c>
      <c r="I73" t="s">
        <v>23</v>
      </c>
      <c r="J73" s="8">
        <f t="shared" si="1"/>
        <v>437885.89</v>
      </c>
      <c r="K73" t="s">
        <v>59</v>
      </c>
      <c r="L73" s="6" t="s">
        <v>42</v>
      </c>
      <c r="M73">
        <v>1</v>
      </c>
      <c r="N73" s="9" t="s">
        <v>190</v>
      </c>
      <c r="O73" t="s">
        <v>191</v>
      </c>
      <c r="P73" s="10">
        <v>5.89</v>
      </c>
      <c r="Q73" s="3">
        <v>44968</v>
      </c>
      <c r="R73" s="11">
        <v>44971</v>
      </c>
      <c r="S73" t="s">
        <v>51</v>
      </c>
    </row>
    <row r="74" spans="1:19" x14ac:dyDescent="0.3">
      <c r="A74" s="1">
        <v>45225</v>
      </c>
      <c r="B74" s="6" t="s">
        <v>29</v>
      </c>
      <c r="C74" t="s">
        <v>40</v>
      </c>
      <c r="D74" s="6">
        <v>13</v>
      </c>
      <c r="E74" s="4">
        <v>14999</v>
      </c>
      <c r="F74" s="6" t="s">
        <v>21</v>
      </c>
      <c r="G74" t="s">
        <v>22</v>
      </c>
      <c r="H74" s="7">
        <v>1050</v>
      </c>
      <c r="I74" t="s">
        <v>53</v>
      </c>
      <c r="J74" s="8">
        <f t="shared" si="1"/>
        <v>193943.57</v>
      </c>
      <c r="K74" t="s">
        <v>34</v>
      </c>
      <c r="L74" s="6" t="s">
        <v>42</v>
      </c>
      <c r="M74">
        <v>1</v>
      </c>
      <c r="N74" s="9" t="s">
        <v>192</v>
      </c>
      <c r="O74" t="s">
        <v>193</v>
      </c>
      <c r="P74" s="10">
        <v>6.57</v>
      </c>
      <c r="Q74" s="3">
        <v>45225</v>
      </c>
      <c r="R74" s="11">
        <v>45235</v>
      </c>
      <c r="S74" t="s">
        <v>38</v>
      </c>
    </row>
    <row r="75" spans="1:19" x14ac:dyDescent="0.3">
      <c r="A75" s="1">
        <v>45220</v>
      </c>
      <c r="B75" s="6" t="s">
        <v>29</v>
      </c>
      <c r="C75" t="s">
        <v>56</v>
      </c>
      <c r="D75" s="6">
        <v>13</v>
      </c>
      <c r="E75" s="4">
        <v>12999</v>
      </c>
      <c r="F75" s="6" t="s">
        <v>31</v>
      </c>
      <c r="G75" t="s">
        <v>22</v>
      </c>
      <c r="H75" s="7">
        <v>1050</v>
      </c>
      <c r="I75" t="s">
        <v>33</v>
      </c>
      <c r="J75" s="8">
        <f t="shared" si="1"/>
        <v>167970.52</v>
      </c>
      <c r="K75" t="s">
        <v>59</v>
      </c>
      <c r="L75" s="6"/>
      <c r="M75">
        <v>0</v>
      </c>
      <c r="N75" s="9" t="s">
        <v>194</v>
      </c>
      <c r="O75" t="s">
        <v>195</v>
      </c>
      <c r="P75" s="10">
        <v>33.520000000000003</v>
      </c>
      <c r="Q75" s="3">
        <v>45220</v>
      </c>
      <c r="R75" s="11">
        <v>45227</v>
      </c>
      <c r="S75" t="s">
        <v>38</v>
      </c>
    </row>
    <row r="76" spans="1:19" x14ac:dyDescent="0.3">
      <c r="A76" s="1">
        <v>45305</v>
      </c>
      <c r="B76" s="6" t="s">
        <v>46</v>
      </c>
      <c r="C76" t="s">
        <v>80</v>
      </c>
      <c r="D76" s="6">
        <v>19</v>
      </c>
      <c r="E76" s="4">
        <v>14999</v>
      </c>
      <c r="F76" s="6" t="s">
        <v>57</v>
      </c>
      <c r="G76" t="s">
        <v>32</v>
      </c>
      <c r="H76" s="7">
        <v>3150</v>
      </c>
      <c r="I76" t="s">
        <v>58</v>
      </c>
      <c r="J76" s="8">
        <f t="shared" si="1"/>
        <v>281864.59000000003</v>
      </c>
      <c r="K76" t="s">
        <v>62</v>
      </c>
      <c r="L76" s="6" t="s">
        <v>25</v>
      </c>
      <c r="M76">
        <v>0</v>
      </c>
      <c r="N76" s="9" t="s">
        <v>196</v>
      </c>
      <c r="O76" t="s">
        <v>197</v>
      </c>
      <c r="P76" s="10">
        <v>33.590000000000003</v>
      </c>
      <c r="Q76" s="3">
        <v>45305</v>
      </c>
      <c r="R76" s="11">
        <v>45311</v>
      </c>
      <c r="S76" t="s">
        <v>51</v>
      </c>
    </row>
    <row r="77" spans="1:19" x14ac:dyDescent="0.3">
      <c r="A77" s="1">
        <v>45134</v>
      </c>
      <c r="B77" s="6" t="s">
        <v>46</v>
      </c>
      <c r="C77" t="s">
        <v>40</v>
      </c>
      <c r="D77" s="6">
        <v>10</v>
      </c>
      <c r="E77" s="4">
        <v>14999</v>
      </c>
      <c r="F77" s="6" t="s">
        <v>57</v>
      </c>
      <c r="G77" t="s">
        <v>22</v>
      </c>
      <c r="H77" s="7">
        <v>2100</v>
      </c>
      <c r="I77" t="s">
        <v>23</v>
      </c>
      <c r="J77" s="8">
        <f t="shared" si="1"/>
        <v>147921.29999999999</v>
      </c>
      <c r="K77" t="s">
        <v>24</v>
      </c>
      <c r="L77" s="6"/>
      <c r="M77">
        <v>0</v>
      </c>
      <c r="N77" s="9" t="s">
        <v>198</v>
      </c>
      <c r="O77" t="s">
        <v>199</v>
      </c>
      <c r="P77" s="10">
        <v>31.3</v>
      </c>
      <c r="Q77" s="3">
        <v>45134</v>
      </c>
      <c r="R77" s="11">
        <v>45138</v>
      </c>
      <c r="S77" t="s">
        <v>51</v>
      </c>
    </row>
    <row r="78" spans="1:19" x14ac:dyDescent="0.3">
      <c r="A78" s="1">
        <v>45588</v>
      </c>
      <c r="B78" s="6" t="s">
        <v>29</v>
      </c>
      <c r="C78" t="s">
        <v>30</v>
      </c>
      <c r="D78" s="6">
        <v>14</v>
      </c>
      <c r="E78" s="4">
        <v>14999</v>
      </c>
      <c r="F78" s="6" t="s">
        <v>21</v>
      </c>
      <c r="G78" t="s">
        <v>32</v>
      </c>
      <c r="H78" s="7">
        <v>2100</v>
      </c>
      <c r="I78" t="s">
        <v>23</v>
      </c>
      <c r="J78" s="8">
        <f t="shared" si="1"/>
        <v>207900.41</v>
      </c>
      <c r="K78" t="s">
        <v>24</v>
      </c>
      <c r="L78" s="6" t="s">
        <v>35</v>
      </c>
      <c r="M78">
        <v>0</v>
      </c>
      <c r="N78" s="9" t="s">
        <v>200</v>
      </c>
      <c r="O78" t="s">
        <v>201</v>
      </c>
      <c r="P78" s="10">
        <v>14.41</v>
      </c>
      <c r="Q78" s="3">
        <v>45588</v>
      </c>
      <c r="R78" s="11">
        <v>45590</v>
      </c>
      <c r="S78" t="s">
        <v>38</v>
      </c>
    </row>
    <row r="79" spans="1:19" x14ac:dyDescent="0.3">
      <c r="A79" s="1">
        <v>45195</v>
      </c>
      <c r="B79" s="6" t="s">
        <v>29</v>
      </c>
      <c r="C79" t="s">
        <v>47</v>
      </c>
      <c r="D79" s="6">
        <v>5</v>
      </c>
      <c r="E79" s="4">
        <v>11999</v>
      </c>
      <c r="F79" s="6" t="s">
        <v>21</v>
      </c>
      <c r="G79" t="s">
        <v>32</v>
      </c>
      <c r="H79" s="7">
        <v>3150</v>
      </c>
      <c r="I79" t="s">
        <v>33</v>
      </c>
      <c r="J79" s="8">
        <f t="shared" si="1"/>
        <v>56852.87</v>
      </c>
      <c r="K79" t="s">
        <v>24</v>
      </c>
      <c r="L79" s="6" t="s">
        <v>42</v>
      </c>
      <c r="M79">
        <v>1</v>
      </c>
      <c r="N79" s="9" t="s">
        <v>202</v>
      </c>
      <c r="O79" t="s">
        <v>203</v>
      </c>
      <c r="P79" s="10">
        <v>7.87</v>
      </c>
      <c r="Q79" s="3">
        <v>45195</v>
      </c>
      <c r="R79" s="11">
        <v>45200</v>
      </c>
      <c r="S79" t="s">
        <v>38</v>
      </c>
    </row>
    <row r="80" spans="1:19" x14ac:dyDescent="0.3">
      <c r="A80" s="1">
        <v>45276</v>
      </c>
      <c r="B80" s="6" t="s">
        <v>19</v>
      </c>
      <c r="C80" t="s">
        <v>30</v>
      </c>
      <c r="D80" s="6">
        <v>13</v>
      </c>
      <c r="E80" s="4">
        <v>14999</v>
      </c>
      <c r="F80" s="6" t="s">
        <v>57</v>
      </c>
      <c r="G80" t="s">
        <v>32</v>
      </c>
      <c r="H80" s="7">
        <v>0</v>
      </c>
      <c r="I80" t="s">
        <v>53</v>
      </c>
      <c r="J80" s="8">
        <f t="shared" si="1"/>
        <v>195036.05</v>
      </c>
      <c r="K80" t="s">
        <v>34</v>
      </c>
      <c r="L80" s="6" t="s">
        <v>35</v>
      </c>
      <c r="M80">
        <v>0</v>
      </c>
      <c r="N80" s="9" t="s">
        <v>204</v>
      </c>
      <c r="O80" t="s">
        <v>27</v>
      </c>
      <c r="P80" s="10">
        <v>49.05</v>
      </c>
      <c r="Q80" s="3">
        <v>45276</v>
      </c>
      <c r="R80" s="11">
        <v>45280</v>
      </c>
      <c r="S80" t="s">
        <v>28</v>
      </c>
    </row>
    <row r="81" spans="1:19" x14ac:dyDescent="0.3">
      <c r="A81" s="1">
        <v>45293</v>
      </c>
      <c r="B81" s="6" t="s">
        <v>46</v>
      </c>
      <c r="C81" t="s">
        <v>129</v>
      </c>
      <c r="D81" s="6">
        <v>19</v>
      </c>
      <c r="E81" s="4">
        <v>12999</v>
      </c>
      <c r="F81" s="6" t="s">
        <v>31</v>
      </c>
      <c r="G81" t="s">
        <v>22</v>
      </c>
      <c r="H81" s="7">
        <v>0</v>
      </c>
      <c r="I81" t="s">
        <v>33</v>
      </c>
      <c r="J81" s="8">
        <f t="shared" si="1"/>
        <v>247020.98</v>
      </c>
      <c r="K81" t="s">
        <v>59</v>
      </c>
      <c r="L81" s="6"/>
      <c r="M81">
        <v>0</v>
      </c>
      <c r="N81" s="9" t="s">
        <v>205</v>
      </c>
      <c r="O81" t="s">
        <v>206</v>
      </c>
      <c r="P81" s="10">
        <v>39.979999999999997</v>
      </c>
      <c r="Q81" s="3">
        <v>45293</v>
      </c>
      <c r="R81" s="11">
        <v>45296</v>
      </c>
      <c r="S81" t="s">
        <v>51</v>
      </c>
    </row>
    <row r="82" spans="1:19" x14ac:dyDescent="0.3">
      <c r="A82" s="1">
        <v>45338</v>
      </c>
      <c r="B82" s="6" t="s">
        <v>39</v>
      </c>
      <c r="C82" t="s">
        <v>30</v>
      </c>
      <c r="D82" s="6">
        <v>4</v>
      </c>
      <c r="E82" s="4">
        <v>9999</v>
      </c>
      <c r="F82" s="6" t="s">
        <v>31</v>
      </c>
      <c r="G82" t="s">
        <v>32</v>
      </c>
      <c r="H82" s="7">
        <v>1050</v>
      </c>
      <c r="I82" t="s">
        <v>33</v>
      </c>
      <c r="J82" s="8">
        <f t="shared" si="1"/>
        <v>38984.82</v>
      </c>
      <c r="K82" t="s">
        <v>62</v>
      </c>
      <c r="L82" s="6" t="s">
        <v>35</v>
      </c>
      <c r="M82">
        <v>1</v>
      </c>
      <c r="N82" s="9" t="s">
        <v>207</v>
      </c>
      <c r="O82" t="s">
        <v>208</v>
      </c>
      <c r="P82" s="10">
        <v>38.82</v>
      </c>
      <c r="Q82" s="3">
        <v>45338</v>
      </c>
      <c r="R82" s="11">
        <v>45347</v>
      </c>
      <c r="S82" t="s">
        <v>45</v>
      </c>
    </row>
    <row r="83" spans="1:19" x14ac:dyDescent="0.3">
      <c r="A83" s="1">
        <v>45415</v>
      </c>
      <c r="B83" s="6" t="s">
        <v>19</v>
      </c>
      <c r="C83" t="s">
        <v>56</v>
      </c>
      <c r="D83" s="6">
        <v>5</v>
      </c>
      <c r="E83" s="4">
        <v>15999</v>
      </c>
      <c r="F83" s="6" t="s">
        <v>31</v>
      </c>
      <c r="G83" t="s">
        <v>22</v>
      </c>
      <c r="H83" s="7">
        <v>3150</v>
      </c>
      <c r="I83" t="s">
        <v>48</v>
      </c>
      <c r="J83" s="8">
        <f t="shared" si="1"/>
        <v>76869.03</v>
      </c>
      <c r="K83" t="s">
        <v>24</v>
      </c>
      <c r="L83" s="6"/>
      <c r="M83">
        <v>1</v>
      </c>
      <c r="N83" s="9" t="s">
        <v>209</v>
      </c>
      <c r="O83" t="s">
        <v>100</v>
      </c>
      <c r="P83" s="10">
        <v>24.03</v>
      </c>
      <c r="Q83" s="3">
        <v>45415</v>
      </c>
      <c r="R83" s="11">
        <v>45424</v>
      </c>
      <c r="S83" t="s">
        <v>28</v>
      </c>
    </row>
    <row r="84" spans="1:19" x14ac:dyDescent="0.3">
      <c r="A84" s="1">
        <v>45073</v>
      </c>
      <c r="B84" s="6" t="s">
        <v>70</v>
      </c>
      <c r="C84" t="s">
        <v>56</v>
      </c>
      <c r="D84" s="6">
        <v>18</v>
      </c>
      <c r="E84" s="4">
        <v>11999</v>
      </c>
      <c r="F84" s="6" t="s">
        <v>52</v>
      </c>
      <c r="G84" t="s">
        <v>32</v>
      </c>
      <c r="H84" s="7">
        <v>1050</v>
      </c>
      <c r="I84" t="s">
        <v>23</v>
      </c>
      <c r="J84" s="8">
        <f t="shared" si="1"/>
        <v>214944.38</v>
      </c>
      <c r="K84" t="s">
        <v>59</v>
      </c>
      <c r="L84" s="6" t="s">
        <v>35</v>
      </c>
      <c r="M84">
        <v>1</v>
      </c>
      <c r="N84" s="9" t="s">
        <v>210</v>
      </c>
      <c r="O84" t="s">
        <v>156</v>
      </c>
      <c r="P84" s="10">
        <v>12.38</v>
      </c>
      <c r="Q84" s="3">
        <v>45073</v>
      </c>
      <c r="R84" s="11">
        <v>45079</v>
      </c>
      <c r="S84" t="s">
        <v>73</v>
      </c>
    </row>
    <row r="85" spans="1:19" x14ac:dyDescent="0.3">
      <c r="A85" s="1">
        <v>44931</v>
      </c>
      <c r="B85" s="6" t="s">
        <v>19</v>
      </c>
      <c r="C85" t="s">
        <v>40</v>
      </c>
      <c r="D85" s="6">
        <v>12</v>
      </c>
      <c r="E85" s="4">
        <v>18999</v>
      </c>
      <c r="F85" s="6" t="s">
        <v>31</v>
      </c>
      <c r="G85" t="s">
        <v>22</v>
      </c>
      <c r="H85" s="7">
        <v>0</v>
      </c>
      <c r="I85" t="s">
        <v>23</v>
      </c>
      <c r="J85" s="8">
        <f t="shared" si="1"/>
        <v>228029.16</v>
      </c>
      <c r="K85" t="s">
        <v>59</v>
      </c>
      <c r="L85" s="6" t="s">
        <v>25</v>
      </c>
      <c r="M85">
        <v>0</v>
      </c>
      <c r="N85" s="9" t="s">
        <v>211</v>
      </c>
      <c r="O85" t="s">
        <v>212</v>
      </c>
      <c r="P85" s="10">
        <v>41.16</v>
      </c>
      <c r="Q85" s="3">
        <v>44931</v>
      </c>
      <c r="R85" s="11">
        <v>44937</v>
      </c>
      <c r="S85" t="s">
        <v>28</v>
      </c>
    </row>
    <row r="86" spans="1:19" x14ac:dyDescent="0.3">
      <c r="A86" s="1">
        <v>45798</v>
      </c>
      <c r="B86" s="6" t="s">
        <v>19</v>
      </c>
      <c r="C86" t="s">
        <v>47</v>
      </c>
      <c r="D86" s="6">
        <v>20</v>
      </c>
      <c r="E86" s="4">
        <v>8999</v>
      </c>
      <c r="F86" s="6" t="s">
        <v>31</v>
      </c>
      <c r="G86" t="s">
        <v>32</v>
      </c>
      <c r="H86" s="7">
        <v>3150</v>
      </c>
      <c r="I86" t="s">
        <v>58</v>
      </c>
      <c r="J86" s="8">
        <f t="shared" si="1"/>
        <v>176870.21</v>
      </c>
      <c r="K86" t="s">
        <v>24</v>
      </c>
      <c r="L86" s="6" t="s">
        <v>42</v>
      </c>
      <c r="M86">
        <v>0</v>
      </c>
      <c r="N86" s="9" t="s">
        <v>213</v>
      </c>
      <c r="O86" t="s">
        <v>214</v>
      </c>
      <c r="P86" s="10">
        <v>40.21</v>
      </c>
      <c r="Q86" s="3">
        <v>45798</v>
      </c>
      <c r="R86" s="11">
        <v>45800</v>
      </c>
      <c r="S86" t="s">
        <v>28</v>
      </c>
    </row>
    <row r="87" spans="1:19" x14ac:dyDescent="0.3">
      <c r="A87" s="1">
        <v>45128</v>
      </c>
      <c r="B87" s="6" t="s">
        <v>46</v>
      </c>
      <c r="C87" t="s">
        <v>80</v>
      </c>
      <c r="D87" s="6">
        <v>17</v>
      </c>
      <c r="E87" s="4">
        <v>19999</v>
      </c>
      <c r="F87" s="6" t="s">
        <v>21</v>
      </c>
      <c r="G87" t="s">
        <v>32</v>
      </c>
      <c r="H87" s="7">
        <v>0</v>
      </c>
      <c r="I87" t="s">
        <v>23</v>
      </c>
      <c r="J87" s="8">
        <f t="shared" si="1"/>
        <v>340020.75</v>
      </c>
      <c r="K87" t="s">
        <v>34</v>
      </c>
      <c r="L87" s="6" t="s">
        <v>25</v>
      </c>
      <c r="M87">
        <v>1</v>
      </c>
      <c r="N87" s="9" t="s">
        <v>215</v>
      </c>
      <c r="O87" t="s">
        <v>67</v>
      </c>
      <c r="P87" s="10">
        <v>37.75</v>
      </c>
      <c r="Q87" s="3">
        <v>45128</v>
      </c>
      <c r="R87" s="11">
        <v>45132</v>
      </c>
      <c r="S87" t="s">
        <v>51</v>
      </c>
    </row>
    <row r="88" spans="1:19" x14ac:dyDescent="0.3">
      <c r="A88" s="1">
        <v>45802</v>
      </c>
      <c r="B88" s="6" t="s">
        <v>19</v>
      </c>
      <c r="C88" t="s">
        <v>20</v>
      </c>
      <c r="D88" s="6">
        <v>15</v>
      </c>
      <c r="E88" s="4">
        <v>39999</v>
      </c>
      <c r="F88" s="6" t="s">
        <v>52</v>
      </c>
      <c r="G88" t="s">
        <v>32</v>
      </c>
      <c r="H88" s="7">
        <v>0</v>
      </c>
      <c r="I88" t="s">
        <v>23</v>
      </c>
      <c r="J88" s="8">
        <f t="shared" si="1"/>
        <v>600008.49</v>
      </c>
      <c r="K88" t="s">
        <v>62</v>
      </c>
      <c r="L88" s="6" t="s">
        <v>42</v>
      </c>
      <c r="M88">
        <v>0</v>
      </c>
      <c r="N88" s="9" t="s">
        <v>216</v>
      </c>
      <c r="O88" t="s">
        <v>217</v>
      </c>
      <c r="P88" s="10">
        <v>23.49</v>
      </c>
      <c r="Q88" s="3">
        <v>45802</v>
      </c>
      <c r="R88" s="11">
        <v>45811</v>
      </c>
      <c r="S88" t="s">
        <v>28</v>
      </c>
    </row>
    <row r="89" spans="1:19" x14ac:dyDescent="0.3">
      <c r="A89" s="1">
        <v>45612</v>
      </c>
      <c r="B89" s="6" t="s">
        <v>29</v>
      </c>
      <c r="C89" t="s">
        <v>80</v>
      </c>
      <c r="D89" s="6">
        <v>20</v>
      </c>
      <c r="E89" s="4">
        <v>21999</v>
      </c>
      <c r="F89" s="6" t="s">
        <v>21</v>
      </c>
      <c r="G89" t="s">
        <v>32</v>
      </c>
      <c r="H89" s="7">
        <v>2100</v>
      </c>
      <c r="I89" t="s">
        <v>23</v>
      </c>
      <c r="J89" s="8">
        <f t="shared" si="1"/>
        <v>437913.47</v>
      </c>
      <c r="K89" t="s">
        <v>34</v>
      </c>
      <c r="L89" s="6" t="s">
        <v>42</v>
      </c>
      <c r="M89">
        <v>0</v>
      </c>
      <c r="N89" s="9" t="s">
        <v>218</v>
      </c>
      <c r="O89" t="s">
        <v>104</v>
      </c>
      <c r="P89" s="10">
        <v>33.47</v>
      </c>
      <c r="Q89" s="3">
        <v>45612</v>
      </c>
      <c r="R89" s="11">
        <v>45618</v>
      </c>
      <c r="S89" t="s">
        <v>38</v>
      </c>
    </row>
    <row r="90" spans="1:19" x14ac:dyDescent="0.3">
      <c r="A90" s="1">
        <v>45249</v>
      </c>
      <c r="B90" s="6" t="s">
        <v>39</v>
      </c>
      <c r="C90" t="s">
        <v>20</v>
      </c>
      <c r="D90" s="6">
        <v>16</v>
      </c>
      <c r="E90" s="4">
        <v>45999</v>
      </c>
      <c r="F90" s="6" t="s">
        <v>52</v>
      </c>
      <c r="G90" t="s">
        <v>22</v>
      </c>
      <c r="H90" s="7">
        <v>1050</v>
      </c>
      <c r="I90" t="s">
        <v>48</v>
      </c>
      <c r="J90" s="8">
        <f t="shared" si="1"/>
        <v>734970.47</v>
      </c>
      <c r="K90" t="s">
        <v>24</v>
      </c>
      <c r="L90" s="6"/>
      <c r="M90">
        <v>0</v>
      </c>
      <c r="N90" s="9" t="s">
        <v>219</v>
      </c>
      <c r="O90" t="s">
        <v>220</v>
      </c>
      <c r="P90" s="10">
        <v>36.47</v>
      </c>
      <c r="Q90" s="3">
        <v>45249</v>
      </c>
      <c r="R90" s="11">
        <v>45255</v>
      </c>
      <c r="S90" t="s">
        <v>45</v>
      </c>
    </row>
    <row r="91" spans="1:19" x14ac:dyDescent="0.3">
      <c r="A91" s="1">
        <v>45669</v>
      </c>
      <c r="B91" s="6" t="s">
        <v>46</v>
      </c>
      <c r="C91" t="s">
        <v>20</v>
      </c>
      <c r="D91" s="6">
        <v>15</v>
      </c>
      <c r="E91" s="4">
        <v>45999</v>
      </c>
      <c r="F91" s="6" t="s">
        <v>31</v>
      </c>
      <c r="G91" t="s">
        <v>22</v>
      </c>
      <c r="H91" s="7">
        <v>1050</v>
      </c>
      <c r="I91" t="s">
        <v>23</v>
      </c>
      <c r="J91" s="8">
        <f t="shared" si="1"/>
        <v>688983.51</v>
      </c>
      <c r="K91" t="s">
        <v>24</v>
      </c>
      <c r="L91" s="6" t="s">
        <v>35</v>
      </c>
      <c r="M91">
        <v>0</v>
      </c>
      <c r="N91" s="9" t="s">
        <v>221</v>
      </c>
      <c r="O91" t="s">
        <v>222</v>
      </c>
      <c r="P91" s="10">
        <v>48.51</v>
      </c>
      <c r="Q91" s="3">
        <v>45669</v>
      </c>
      <c r="R91" s="11">
        <v>45678</v>
      </c>
      <c r="S91" t="s">
        <v>51</v>
      </c>
    </row>
    <row r="92" spans="1:19" x14ac:dyDescent="0.3">
      <c r="A92" s="1">
        <v>45014</v>
      </c>
      <c r="B92" s="6" t="s">
        <v>39</v>
      </c>
      <c r="C92" t="s">
        <v>56</v>
      </c>
      <c r="D92" s="6">
        <v>19</v>
      </c>
      <c r="E92" s="4">
        <v>18999</v>
      </c>
      <c r="F92" s="6" t="s">
        <v>31</v>
      </c>
      <c r="G92" t="s">
        <v>22</v>
      </c>
      <c r="H92" s="7">
        <v>2100</v>
      </c>
      <c r="I92" t="s">
        <v>53</v>
      </c>
      <c r="J92" s="8">
        <f t="shared" si="1"/>
        <v>358899.3</v>
      </c>
      <c r="K92" t="s">
        <v>59</v>
      </c>
      <c r="L92" s="6" t="s">
        <v>42</v>
      </c>
      <c r="M92">
        <v>0</v>
      </c>
      <c r="N92" s="9" t="s">
        <v>223</v>
      </c>
      <c r="O92" t="s">
        <v>224</v>
      </c>
      <c r="P92" s="10">
        <v>18.3</v>
      </c>
      <c r="Q92" s="3">
        <v>45014</v>
      </c>
      <c r="R92" s="11">
        <v>45019</v>
      </c>
      <c r="S92" t="s">
        <v>45</v>
      </c>
    </row>
    <row r="93" spans="1:19" x14ac:dyDescent="0.3">
      <c r="A93" s="1">
        <v>45717</v>
      </c>
      <c r="B93" s="6" t="s">
        <v>39</v>
      </c>
      <c r="C93" t="s">
        <v>40</v>
      </c>
      <c r="D93" s="6">
        <v>8</v>
      </c>
      <c r="E93" s="4">
        <v>14999</v>
      </c>
      <c r="F93" s="6" t="s">
        <v>52</v>
      </c>
      <c r="G93" t="s">
        <v>32</v>
      </c>
      <c r="H93" s="7">
        <v>1050</v>
      </c>
      <c r="I93" t="s">
        <v>53</v>
      </c>
      <c r="J93" s="8">
        <f t="shared" si="1"/>
        <v>118956.8</v>
      </c>
      <c r="K93" t="s">
        <v>24</v>
      </c>
      <c r="L93" s="6" t="s">
        <v>35</v>
      </c>
      <c r="M93">
        <v>0</v>
      </c>
      <c r="N93" s="9" t="s">
        <v>225</v>
      </c>
      <c r="O93" t="s">
        <v>226</v>
      </c>
      <c r="P93" s="10">
        <v>14.8</v>
      </c>
      <c r="Q93" s="3">
        <v>45717</v>
      </c>
      <c r="R93" s="11">
        <v>45721</v>
      </c>
      <c r="S93" t="s">
        <v>45</v>
      </c>
    </row>
    <row r="94" spans="1:19" x14ac:dyDescent="0.3">
      <c r="A94" s="1">
        <v>45217</v>
      </c>
      <c r="B94" s="6" t="s">
        <v>39</v>
      </c>
      <c r="C94" t="s">
        <v>47</v>
      </c>
      <c r="D94" s="6">
        <v>12</v>
      </c>
      <c r="E94" s="4">
        <v>11999</v>
      </c>
      <c r="F94" s="6" t="s">
        <v>21</v>
      </c>
      <c r="G94" t="s">
        <v>22</v>
      </c>
      <c r="H94" s="7">
        <v>3150</v>
      </c>
      <c r="I94" t="s">
        <v>58</v>
      </c>
      <c r="J94" s="8">
        <f t="shared" si="1"/>
        <v>140856.04999999999</v>
      </c>
      <c r="K94" t="s">
        <v>24</v>
      </c>
      <c r="L94" s="6" t="s">
        <v>35</v>
      </c>
      <c r="M94">
        <v>1</v>
      </c>
      <c r="N94" s="9" t="s">
        <v>227</v>
      </c>
      <c r="O94" t="s">
        <v>203</v>
      </c>
      <c r="P94" s="10">
        <v>18.05</v>
      </c>
      <c r="Q94" s="3">
        <v>45217</v>
      </c>
      <c r="R94" s="11">
        <v>45219</v>
      </c>
      <c r="S94" t="s">
        <v>45</v>
      </c>
    </row>
    <row r="95" spans="1:19" x14ac:dyDescent="0.3">
      <c r="A95" s="1">
        <v>45760</v>
      </c>
      <c r="B95" s="6" t="s">
        <v>19</v>
      </c>
      <c r="C95" t="s">
        <v>40</v>
      </c>
      <c r="D95" s="6">
        <v>10</v>
      </c>
      <c r="E95" s="4">
        <v>18999</v>
      </c>
      <c r="F95" s="6" t="s">
        <v>52</v>
      </c>
      <c r="G95" t="s">
        <v>22</v>
      </c>
      <c r="H95" s="7">
        <v>0</v>
      </c>
      <c r="I95" t="s">
        <v>23</v>
      </c>
      <c r="J95" s="8">
        <f t="shared" si="1"/>
        <v>189995.01</v>
      </c>
      <c r="K95" t="s">
        <v>59</v>
      </c>
      <c r="L95" s="6" t="s">
        <v>42</v>
      </c>
      <c r="M95">
        <v>0</v>
      </c>
      <c r="N95" s="9" t="s">
        <v>228</v>
      </c>
      <c r="O95" t="s">
        <v>98</v>
      </c>
      <c r="P95" s="10">
        <v>5.01</v>
      </c>
      <c r="Q95" s="3">
        <v>45760</v>
      </c>
      <c r="R95" s="11">
        <v>45762</v>
      </c>
      <c r="S95" t="s">
        <v>28</v>
      </c>
    </row>
    <row r="96" spans="1:19" x14ac:dyDescent="0.3">
      <c r="A96" s="1">
        <v>45790</v>
      </c>
      <c r="B96" s="6" t="s">
        <v>46</v>
      </c>
      <c r="C96" t="s">
        <v>20</v>
      </c>
      <c r="D96" s="6">
        <v>7</v>
      </c>
      <c r="E96" s="4">
        <v>45999</v>
      </c>
      <c r="F96" s="6" t="s">
        <v>31</v>
      </c>
      <c r="G96" t="s">
        <v>32</v>
      </c>
      <c r="H96" s="7">
        <v>1050</v>
      </c>
      <c r="I96" t="s">
        <v>33</v>
      </c>
      <c r="J96" s="8">
        <f t="shared" si="1"/>
        <v>320954.53999999998</v>
      </c>
      <c r="K96" t="s">
        <v>65</v>
      </c>
      <c r="L96" s="6" t="s">
        <v>35</v>
      </c>
      <c r="M96">
        <v>1</v>
      </c>
      <c r="N96" s="9" t="s">
        <v>229</v>
      </c>
      <c r="O96" t="s">
        <v>141</v>
      </c>
      <c r="P96" s="10">
        <v>11.54</v>
      </c>
      <c r="Q96" s="3">
        <v>45790</v>
      </c>
      <c r="R96" s="11">
        <v>45800</v>
      </c>
      <c r="S96" t="s">
        <v>51</v>
      </c>
    </row>
    <row r="97" spans="1:19" x14ac:dyDescent="0.3">
      <c r="A97" s="1">
        <v>45403</v>
      </c>
      <c r="B97" s="6" t="s">
        <v>70</v>
      </c>
      <c r="C97" t="s">
        <v>129</v>
      </c>
      <c r="D97" s="6">
        <v>17</v>
      </c>
      <c r="E97" s="4">
        <v>12999</v>
      </c>
      <c r="F97" s="6" t="s">
        <v>21</v>
      </c>
      <c r="G97" t="s">
        <v>22</v>
      </c>
      <c r="H97" s="7">
        <v>1050</v>
      </c>
      <c r="I97" t="s">
        <v>23</v>
      </c>
      <c r="J97" s="8">
        <f t="shared" si="1"/>
        <v>219939.11</v>
      </c>
      <c r="K97" t="s">
        <v>24</v>
      </c>
      <c r="L97" s="6" t="s">
        <v>25</v>
      </c>
      <c r="M97">
        <v>0</v>
      </c>
      <c r="N97" s="9" t="s">
        <v>230</v>
      </c>
      <c r="O97" t="s">
        <v>231</v>
      </c>
      <c r="P97" s="10">
        <v>6.11</v>
      </c>
      <c r="Q97" s="3">
        <v>45403</v>
      </c>
      <c r="R97" s="11">
        <v>45409</v>
      </c>
      <c r="S97" t="s">
        <v>73</v>
      </c>
    </row>
    <row r="98" spans="1:19" x14ac:dyDescent="0.3">
      <c r="A98" s="1">
        <v>45688</v>
      </c>
      <c r="B98" s="6" t="s">
        <v>46</v>
      </c>
      <c r="C98" t="s">
        <v>56</v>
      </c>
      <c r="D98" s="6">
        <v>1</v>
      </c>
      <c r="E98" s="4">
        <v>15999</v>
      </c>
      <c r="F98" s="6" t="s">
        <v>21</v>
      </c>
      <c r="G98" t="s">
        <v>22</v>
      </c>
      <c r="H98" s="7">
        <v>1050</v>
      </c>
      <c r="I98" t="s">
        <v>23</v>
      </c>
      <c r="J98" s="8">
        <f t="shared" si="1"/>
        <v>14976.48</v>
      </c>
      <c r="K98" t="s">
        <v>59</v>
      </c>
      <c r="L98" s="6" t="s">
        <v>42</v>
      </c>
      <c r="M98">
        <v>0</v>
      </c>
      <c r="N98" s="9" t="s">
        <v>232</v>
      </c>
      <c r="O98" t="s">
        <v>233</v>
      </c>
      <c r="P98" s="10">
        <v>27.48</v>
      </c>
      <c r="Q98" s="3">
        <v>45688</v>
      </c>
      <c r="R98" s="11">
        <v>45696</v>
      </c>
      <c r="S98" t="s">
        <v>51</v>
      </c>
    </row>
    <row r="99" spans="1:19" x14ac:dyDescent="0.3">
      <c r="A99" s="1">
        <v>45730</v>
      </c>
      <c r="B99" s="6" t="s">
        <v>46</v>
      </c>
      <c r="C99" t="s">
        <v>47</v>
      </c>
      <c r="D99" s="6">
        <v>10</v>
      </c>
      <c r="E99" s="4">
        <v>11999</v>
      </c>
      <c r="F99" s="6" t="s">
        <v>52</v>
      </c>
      <c r="G99" t="s">
        <v>32</v>
      </c>
      <c r="H99" s="7">
        <v>0</v>
      </c>
      <c r="I99" t="s">
        <v>23</v>
      </c>
      <c r="J99" s="8">
        <f t="shared" si="1"/>
        <v>120034.61</v>
      </c>
      <c r="K99" t="s">
        <v>59</v>
      </c>
      <c r="L99" s="6" t="s">
        <v>25</v>
      </c>
      <c r="M99">
        <v>0</v>
      </c>
      <c r="N99" s="9" t="s">
        <v>234</v>
      </c>
      <c r="O99" t="s">
        <v>235</v>
      </c>
      <c r="P99" s="10">
        <v>44.61</v>
      </c>
      <c r="Q99" s="3">
        <v>45730</v>
      </c>
      <c r="R99" s="11">
        <v>45735</v>
      </c>
      <c r="S99" t="s">
        <v>51</v>
      </c>
    </row>
    <row r="100" spans="1:19" x14ac:dyDescent="0.3">
      <c r="A100" s="1">
        <v>45438</v>
      </c>
      <c r="B100" s="6" t="s">
        <v>70</v>
      </c>
      <c r="C100" t="s">
        <v>20</v>
      </c>
      <c r="D100" s="6">
        <v>20</v>
      </c>
      <c r="E100" s="4">
        <v>45999</v>
      </c>
      <c r="F100" s="6" t="s">
        <v>57</v>
      </c>
      <c r="G100" t="s">
        <v>22</v>
      </c>
      <c r="H100" s="7">
        <v>3150</v>
      </c>
      <c r="I100" t="s">
        <v>33</v>
      </c>
      <c r="J100" s="8">
        <f t="shared" si="1"/>
        <v>916873.46</v>
      </c>
      <c r="K100" t="s">
        <v>24</v>
      </c>
      <c r="L100" s="6" t="s">
        <v>35</v>
      </c>
      <c r="M100">
        <v>1</v>
      </c>
      <c r="N100" s="9" t="s">
        <v>236</v>
      </c>
      <c r="O100" t="s">
        <v>237</v>
      </c>
      <c r="P100" s="10">
        <v>43.46</v>
      </c>
      <c r="Q100" s="3">
        <v>45438</v>
      </c>
      <c r="R100" s="11">
        <v>45441</v>
      </c>
      <c r="S100" t="s">
        <v>73</v>
      </c>
    </row>
    <row r="101" spans="1:19" x14ac:dyDescent="0.3">
      <c r="A101" s="1">
        <v>45129</v>
      </c>
      <c r="B101" s="6" t="s">
        <v>39</v>
      </c>
      <c r="C101" t="s">
        <v>30</v>
      </c>
      <c r="D101" s="6">
        <v>17</v>
      </c>
      <c r="E101" s="4">
        <v>14999</v>
      </c>
      <c r="F101" s="6" t="s">
        <v>31</v>
      </c>
      <c r="G101" t="s">
        <v>32</v>
      </c>
      <c r="H101" s="7">
        <v>1050</v>
      </c>
      <c r="I101" t="s">
        <v>53</v>
      </c>
      <c r="J101" s="8">
        <f t="shared" si="1"/>
        <v>253950.88</v>
      </c>
      <c r="K101" t="s">
        <v>59</v>
      </c>
      <c r="L101" s="6" t="s">
        <v>25</v>
      </c>
      <c r="M101">
        <v>0</v>
      </c>
      <c r="N101" s="9" t="s">
        <v>238</v>
      </c>
      <c r="O101" t="s">
        <v>158</v>
      </c>
      <c r="P101" s="10">
        <v>17.88</v>
      </c>
      <c r="Q101" s="3">
        <v>45129</v>
      </c>
      <c r="R101" s="11">
        <v>45133</v>
      </c>
      <c r="S101" t="s">
        <v>45</v>
      </c>
    </row>
    <row r="102" spans="1:19" x14ac:dyDescent="0.3">
      <c r="A102" s="1">
        <v>45372</v>
      </c>
      <c r="B102" s="6" t="s">
        <v>39</v>
      </c>
      <c r="C102" t="s">
        <v>20</v>
      </c>
      <c r="D102" s="6">
        <v>11</v>
      </c>
      <c r="E102" s="4">
        <v>45999</v>
      </c>
      <c r="F102" s="6" t="s">
        <v>57</v>
      </c>
      <c r="G102" t="s">
        <v>32</v>
      </c>
      <c r="H102" s="7">
        <v>7589</v>
      </c>
      <c r="I102" t="s">
        <v>48</v>
      </c>
      <c r="J102" s="8">
        <f t="shared" si="1"/>
        <v>498448.03</v>
      </c>
      <c r="K102" t="s">
        <v>34</v>
      </c>
      <c r="L102" s="6" t="s">
        <v>35</v>
      </c>
      <c r="M102">
        <v>0</v>
      </c>
      <c r="N102" s="9" t="s">
        <v>239</v>
      </c>
      <c r="O102" t="s">
        <v>50</v>
      </c>
      <c r="P102" s="10">
        <v>48.03</v>
      </c>
      <c r="Q102" s="3">
        <v>45372</v>
      </c>
      <c r="R102" s="11">
        <v>45381</v>
      </c>
      <c r="S102" t="s">
        <v>45</v>
      </c>
    </row>
    <row r="103" spans="1:19" x14ac:dyDescent="0.3">
      <c r="A103" s="1">
        <v>45393</v>
      </c>
      <c r="B103" s="6" t="s">
        <v>70</v>
      </c>
      <c r="C103" t="s">
        <v>47</v>
      </c>
      <c r="D103" s="6">
        <v>8</v>
      </c>
      <c r="E103" s="4">
        <v>7999</v>
      </c>
      <c r="F103" s="6" t="s">
        <v>21</v>
      </c>
      <c r="G103" t="s">
        <v>32</v>
      </c>
      <c r="H103" s="7">
        <v>1290</v>
      </c>
      <c r="I103" t="s">
        <v>23</v>
      </c>
      <c r="J103" s="8">
        <f t="shared" si="1"/>
        <v>62724.5</v>
      </c>
      <c r="K103" t="s">
        <v>62</v>
      </c>
      <c r="L103" s="6" t="s">
        <v>25</v>
      </c>
      <c r="M103">
        <v>0</v>
      </c>
      <c r="N103" s="9" t="s">
        <v>240</v>
      </c>
      <c r="O103" t="s">
        <v>241</v>
      </c>
      <c r="P103" s="10">
        <v>22.5</v>
      </c>
      <c r="Q103" s="3">
        <v>45393</v>
      </c>
      <c r="R103" s="11">
        <v>45400</v>
      </c>
      <c r="S103" t="s">
        <v>73</v>
      </c>
    </row>
    <row r="104" spans="1:19" x14ac:dyDescent="0.3">
      <c r="A104" s="1">
        <v>45427</v>
      </c>
      <c r="B104" s="6" t="s">
        <v>29</v>
      </c>
      <c r="C104" t="s">
        <v>80</v>
      </c>
      <c r="D104" s="6">
        <v>6</v>
      </c>
      <c r="E104" s="4">
        <v>21999</v>
      </c>
      <c r="F104" s="6" t="s">
        <v>31</v>
      </c>
      <c r="G104" t="s">
        <v>22</v>
      </c>
      <c r="H104" s="7">
        <v>2640</v>
      </c>
      <c r="I104" t="s">
        <v>33</v>
      </c>
      <c r="J104" s="8">
        <f t="shared" si="1"/>
        <v>129372.75</v>
      </c>
      <c r="K104" t="s">
        <v>59</v>
      </c>
      <c r="L104" s="6" t="s">
        <v>242</v>
      </c>
      <c r="M104">
        <v>0</v>
      </c>
      <c r="N104" s="9" t="s">
        <v>243</v>
      </c>
      <c r="O104" t="s">
        <v>173</v>
      </c>
      <c r="P104" s="10">
        <v>18.75</v>
      </c>
      <c r="Q104" s="3">
        <v>45427</v>
      </c>
      <c r="R104" s="11">
        <v>45434</v>
      </c>
      <c r="S104" t="s">
        <v>38</v>
      </c>
    </row>
    <row r="105" spans="1:19" x14ac:dyDescent="0.3">
      <c r="A105" s="1">
        <v>45157</v>
      </c>
      <c r="B105" s="6" t="s">
        <v>19</v>
      </c>
      <c r="C105" t="s">
        <v>56</v>
      </c>
      <c r="D105" s="6">
        <v>9</v>
      </c>
      <c r="E105" s="4">
        <v>15999</v>
      </c>
      <c r="F105" s="6" t="s">
        <v>52</v>
      </c>
      <c r="G105" t="s">
        <v>32</v>
      </c>
      <c r="H105" s="7">
        <v>2880</v>
      </c>
      <c r="I105" t="s">
        <v>53</v>
      </c>
      <c r="J105" s="8">
        <f t="shared" si="1"/>
        <v>141143.4</v>
      </c>
      <c r="K105" t="s">
        <v>24</v>
      </c>
      <c r="L105" s="6" t="s">
        <v>244</v>
      </c>
      <c r="M105">
        <v>0</v>
      </c>
      <c r="N105" s="9" t="s">
        <v>245</v>
      </c>
      <c r="O105" t="s">
        <v>77</v>
      </c>
      <c r="P105" s="10">
        <v>32.4</v>
      </c>
      <c r="Q105" s="3">
        <v>45157</v>
      </c>
      <c r="R105" s="11">
        <v>45164</v>
      </c>
      <c r="S105" t="s">
        <v>28</v>
      </c>
    </row>
    <row r="106" spans="1:19" x14ac:dyDescent="0.3">
      <c r="A106" s="1">
        <v>45685</v>
      </c>
      <c r="B106" s="6" t="s">
        <v>46</v>
      </c>
      <c r="C106" t="s">
        <v>129</v>
      </c>
      <c r="D106" s="6">
        <v>4</v>
      </c>
      <c r="E106" s="4">
        <v>12999</v>
      </c>
      <c r="F106" s="6" t="s">
        <v>57</v>
      </c>
      <c r="G106" t="s">
        <v>22</v>
      </c>
      <c r="H106" s="7">
        <v>1040</v>
      </c>
      <c r="I106" t="s">
        <v>58</v>
      </c>
      <c r="J106" s="8">
        <f t="shared" si="1"/>
        <v>50971.6</v>
      </c>
      <c r="K106" t="s">
        <v>65</v>
      </c>
      <c r="L106" s="6" t="s">
        <v>246</v>
      </c>
      <c r="M106">
        <v>0</v>
      </c>
      <c r="N106" s="9" t="s">
        <v>247</v>
      </c>
      <c r="O106" t="s">
        <v>84</v>
      </c>
      <c r="P106" s="10">
        <v>15.6</v>
      </c>
      <c r="Q106" s="3">
        <v>45685</v>
      </c>
      <c r="R106" s="11">
        <v>45692</v>
      </c>
      <c r="S106" t="s">
        <v>51</v>
      </c>
    </row>
    <row r="107" spans="1:19" x14ac:dyDescent="0.3">
      <c r="A107" s="1">
        <v>45503</v>
      </c>
      <c r="B107" s="6" t="s">
        <v>70</v>
      </c>
      <c r="C107" t="s">
        <v>30</v>
      </c>
      <c r="D107" s="6">
        <v>12</v>
      </c>
      <c r="E107" s="4">
        <v>14999</v>
      </c>
      <c r="F107" s="6" t="s">
        <v>21</v>
      </c>
      <c r="G107" t="s">
        <v>32</v>
      </c>
      <c r="H107" s="7">
        <v>3600</v>
      </c>
      <c r="I107" t="s">
        <v>23</v>
      </c>
      <c r="J107" s="8">
        <f t="shared" si="1"/>
        <v>176416.8</v>
      </c>
      <c r="K107" t="s">
        <v>34</v>
      </c>
      <c r="L107" s="6" t="s">
        <v>248</v>
      </c>
      <c r="M107">
        <v>1</v>
      </c>
      <c r="N107" s="9" t="s">
        <v>249</v>
      </c>
      <c r="O107" t="s">
        <v>250</v>
      </c>
      <c r="P107" s="10">
        <v>28.8</v>
      </c>
      <c r="Q107" s="3">
        <v>45503</v>
      </c>
      <c r="R107" s="11">
        <v>45510</v>
      </c>
      <c r="S107" t="s">
        <v>73</v>
      </c>
    </row>
    <row r="108" spans="1:19" x14ac:dyDescent="0.3">
      <c r="A108" s="1">
        <v>45244</v>
      </c>
      <c r="B108" s="6" t="s">
        <v>39</v>
      </c>
      <c r="C108" t="s">
        <v>40</v>
      </c>
      <c r="D108" s="6">
        <v>7</v>
      </c>
      <c r="E108" s="4">
        <v>18999</v>
      </c>
      <c r="F108" s="6" t="s">
        <v>31</v>
      </c>
      <c r="G108" t="s">
        <v>22</v>
      </c>
      <c r="H108" s="7">
        <v>2660</v>
      </c>
      <c r="I108" t="s">
        <v>53</v>
      </c>
      <c r="J108" s="8">
        <f t="shared" si="1"/>
        <v>130352.95</v>
      </c>
      <c r="K108" t="s">
        <v>62</v>
      </c>
      <c r="L108" s="6" t="s">
        <v>251</v>
      </c>
      <c r="M108">
        <v>0</v>
      </c>
      <c r="N108" s="9" t="s">
        <v>252</v>
      </c>
      <c r="O108" t="s">
        <v>38</v>
      </c>
      <c r="P108" s="10">
        <v>19.95</v>
      </c>
      <c r="Q108" s="3">
        <v>45244</v>
      </c>
      <c r="R108" s="11">
        <v>45251</v>
      </c>
      <c r="S108" t="s">
        <v>45</v>
      </c>
    </row>
    <row r="109" spans="1:19" x14ac:dyDescent="0.3">
      <c r="A109" s="1">
        <v>45706</v>
      </c>
      <c r="B109" s="6" t="s">
        <v>29</v>
      </c>
      <c r="C109" t="s">
        <v>20</v>
      </c>
      <c r="D109" s="6">
        <v>3</v>
      </c>
      <c r="E109" s="4">
        <v>45999</v>
      </c>
      <c r="F109" s="6" t="s">
        <v>57</v>
      </c>
      <c r="G109" t="s">
        <v>32</v>
      </c>
      <c r="H109" s="7">
        <v>3450</v>
      </c>
      <c r="I109" t="s">
        <v>58</v>
      </c>
      <c r="J109" s="8">
        <f t="shared" si="1"/>
        <v>134575.5</v>
      </c>
      <c r="K109" t="s">
        <v>65</v>
      </c>
      <c r="L109" s="6" t="s">
        <v>253</v>
      </c>
      <c r="M109">
        <v>0</v>
      </c>
      <c r="N109" s="9" t="s">
        <v>254</v>
      </c>
      <c r="O109" t="s">
        <v>27</v>
      </c>
      <c r="P109" s="10">
        <v>28.5</v>
      </c>
      <c r="Q109" s="3">
        <v>45706</v>
      </c>
      <c r="R109" s="11">
        <v>45713</v>
      </c>
      <c r="S109" t="s">
        <v>38</v>
      </c>
    </row>
    <row r="110" spans="1:19" x14ac:dyDescent="0.3">
      <c r="A110" s="1">
        <v>45557</v>
      </c>
      <c r="B110" s="6" t="s">
        <v>46</v>
      </c>
      <c r="C110" t="s">
        <v>80</v>
      </c>
      <c r="D110" s="6">
        <v>10</v>
      </c>
      <c r="E110" s="4">
        <v>19999</v>
      </c>
      <c r="F110" s="6" t="s">
        <v>52</v>
      </c>
      <c r="G110" t="s">
        <v>22</v>
      </c>
      <c r="H110" s="7">
        <v>4000</v>
      </c>
      <c r="I110" t="s">
        <v>23</v>
      </c>
      <c r="J110" s="8">
        <f t="shared" si="1"/>
        <v>196025.2</v>
      </c>
      <c r="K110" t="s">
        <v>24</v>
      </c>
      <c r="L110" s="6" t="s">
        <v>255</v>
      </c>
      <c r="M110">
        <v>0</v>
      </c>
      <c r="N110" s="9" t="s">
        <v>256</v>
      </c>
      <c r="O110" t="s">
        <v>137</v>
      </c>
      <c r="P110" s="10">
        <v>35.200000000000003</v>
      </c>
      <c r="Q110" s="3">
        <v>45557</v>
      </c>
      <c r="R110" s="11">
        <v>45564</v>
      </c>
      <c r="S110" t="s">
        <v>51</v>
      </c>
    </row>
    <row r="111" spans="1:19" x14ac:dyDescent="0.3">
      <c r="A111" s="1">
        <v>45265</v>
      </c>
      <c r="B111" s="6" t="s">
        <v>19</v>
      </c>
      <c r="C111" t="s">
        <v>47</v>
      </c>
      <c r="D111" s="6">
        <v>6</v>
      </c>
      <c r="E111" s="4">
        <v>7999</v>
      </c>
      <c r="F111" s="6" t="s">
        <v>31</v>
      </c>
      <c r="G111" t="s">
        <v>32</v>
      </c>
      <c r="H111" s="7">
        <v>960</v>
      </c>
      <c r="I111" t="s">
        <v>33</v>
      </c>
      <c r="J111" s="8">
        <f t="shared" si="1"/>
        <v>47056.800000000003</v>
      </c>
      <c r="K111" t="s">
        <v>34</v>
      </c>
      <c r="L111" s="6" t="s">
        <v>257</v>
      </c>
      <c r="M111">
        <v>1</v>
      </c>
      <c r="N111" s="9" t="s">
        <v>258</v>
      </c>
      <c r="O111" t="s">
        <v>72</v>
      </c>
      <c r="P111" s="10">
        <v>22.8</v>
      </c>
      <c r="Q111" s="3">
        <v>45265</v>
      </c>
      <c r="R111" s="11">
        <v>45272</v>
      </c>
      <c r="S111" t="s">
        <v>28</v>
      </c>
    </row>
    <row r="112" spans="1:19" x14ac:dyDescent="0.3">
      <c r="A112" s="1">
        <v>45775</v>
      </c>
      <c r="B112" s="6" t="s">
        <v>70</v>
      </c>
      <c r="C112" t="s">
        <v>56</v>
      </c>
      <c r="D112" s="6">
        <v>4</v>
      </c>
      <c r="E112" s="4">
        <v>15999</v>
      </c>
      <c r="F112" s="6" t="s">
        <v>21</v>
      </c>
      <c r="G112" t="s">
        <v>22</v>
      </c>
      <c r="H112" s="7">
        <v>1280</v>
      </c>
      <c r="I112" t="s">
        <v>53</v>
      </c>
      <c r="J112" s="8">
        <f t="shared" si="1"/>
        <v>62734.9</v>
      </c>
      <c r="K112" t="s">
        <v>62</v>
      </c>
      <c r="L112" s="6" t="s">
        <v>259</v>
      </c>
      <c r="M112">
        <v>0</v>
      </c>
      <c r="N112" s="9" t="s">
        <v>260</v>
      </c>
      <c r="O112" t="s">
        <v>162</v>
      </c>
      <c r="P112" s="10">
        <v>18.899999999999999</v>
      </c>
      <c r="Q112" s="3">
        <v>45775</v>
      </c>
      <c r="R112" s="11">
        <v>45782</v>
      </c>
      <c r="S112" t="s">
        <v>73</v>
      </c>
    </row>
    <row r="113" spans="1:19" x14ac:dyDescent="0.3">
      <c r="A113" s="1">
        <v>45461</v>
      </c>
      <c r="B113" s="6" t="s">
        <v>39</v>
      </c>
      <c r="C113" t="s">
        <v>30</v>
      </c>
      <c r="D113" s="6">
        <v>9</v>
      </c>
      <c r="E113" s="4">
        <v>12999</v>
      </c>
      <c r="F113" s="6" t="s">
        <v>57</v>
      </c>
      <c r="G113" t="s">
        <v>32</v>
      </c>
      <c r="H113" s="7">
        <v>2340</v>
      </c>
      <c r="I113" t="s">
        <v>48</v>
      </c>
      <c r="J113" s="8">
        <f t="shared" si="1"/>
        <v>114676.4</v>
      </c>
      <c r="K113" t="s">
        <v>59</v>
      </c>
      <c r="L113" s="6" t="s">
        <v>261</v>
      </c>
      <c r="M113">
        <v>0</v>
      </c>
      <c r="N113" s="9" t="s">
        <v>262</v>
      </c>
      <c r="O113" t="s">
        <v>156</v>
      </c>
      <c r="P113" s="10">
        <v>25.4</v>
      </c>
      <c r="Q113" s="3">
        <v>45461</v>
      </c>
      <c r="R113" s="11">
        <v>45468</v>
      </c>
      <c r="S113" t="s">
        <v>45</v>
      </c>
    </row>
    <row r="114" spans="1:19" x14ac:dyDescent="0.3">
      <c r="A114" s="1">
        <v>45198</v>
      </c>
      <c r="B114" s="6" t="s">
        <v>29</v>
      </c>
      <c r="C114" t="s">
        <v>129</v>
      </c>
      <c r="D114" s="6">
        <v>11</v>
      </c>
      <c r="E114" s="4">
        <v>12999</v>
      </c>
      <c r="F114" s="6" t="s">
        <v>52</v>
      </c>
      <c r="G114" t="s">
        <v>22</v>
      </c>
      <c r="H114" s="7">
        <v>2860</v>
      </c>
      <c r="I114" t="s">
        <v>23</v>
      </c>
      <c r="J114" s="8">
        <f t="shared" si="1"/>
        <v>140161.79999999999</v>
      </c>
      <c r="K114" t="s">
        <v>24</v>
      </c>
      <c r="L114" s="6" t="s">
        <v>263</v>
      </c>
      <c r="M114">
        <v>1</v>
      </c>
      <c r="N114" s="9" t="s">
        <v>264</v>
      </c>
      <c r="O114" t="s">
        <v>64</v>
      </c>
      <c r="P114" s="10">
        <v>32.799999999999997</v>
      </c>
      <c r="Q114" s="3">
        <v>45198</v>
      </c>
      <c r="R114" s="11">
        <v>45205</v>
      </c>
      <c r="S114" t="s">
        <v>38</v>
      </c>
    </row>
    <row r="115" spans="1:19" x14ac:dyDescent="0.3">
      <c r="A115" s="1">
        <v>45853</v>
      </c>
      <c r="B115" s="6" t="s">
        <v>46</v>
      </c>
      <c r="C115" t="s">
        <v>40</v>
      </c>
      <c r="D115" s="6">
        <v>13</v>
      </c>
      <c r="E115" s="4">
        <v>14999</v>
      </c>
      <c r="F115" s="6" t="s">
        <v>31</v>
      </c>
      <c r="G115" t="s">
        <v>32</v>
      </c>
      <c r="H115" s="7">
        <v>3900</v>
      </c>
      <c r="I115" t="s">
        <v>58</v>
      </c>
      <c r="J115" s="8">
        <f t="shared" si="1"/>
        <v>191129.5</v>
      </c>
      <c r="K115" t="s">
        <v>65</v>
      </c>
      <c r="L115" s="6" t="s">
        <v>265</v>
      </c>
      <c r="M115">
        <v>0</v>
      </c>
      <c r="N115" s="9" t="s">
        <v>266</v>
      </c>
      <c r="O115" t="s">
        <v>45</v>
      </c>
      <c r="P115" s="10">
        <v>42.5</v>
      </c>
      <c r="Q115" s="3">
        <v>45853</v>
      </c>
      <c r="R115" s="11">
        <v>45860</v>
      </c>
      <c r="S115" t="s">
        <v>51</v>
      </c>
    </row>
    <row r="116" spans="1:19" x14ac:dyDescent="0.3">
      <c r="A116" s="1">
        <v>45567</v>
      </c>
      <c r="B116" s="6" t="s">
        <v>19</v>
      </c>
      <c r="C116" t="s">
        <v>20</v>
      </c>
      <c r="D116" s="6">
        <v>5</v>
      </c>
      <c r="E116" s="4">
        <v>52999</v>
      </c>
      <c r="F116" s="6" t="s">
        <v>21</v>
      </c>
      <c r="G116" t="s">
        <v>22</v>
      </c>
      <c r="H116" s="7">
        <v>5300</v>
      </c>
      <c r="I116" t="s">
        <v>33</v>
      </c>
      <c r="J116" s="8">
        <f t="shared" si="1"/>
        <v>259733.6</v>
      </c>
      <c r="K116" t="s">
        <v>62</v>
      </c>
      <c r="L116" s="6" t="s">
        <v>267</v>
      </c>
      <c r="M116">
        <v>0</v>
      </c>
      <c r="N116" s="9" t="s">
        <v>268</v>
      </c>
      <c r="O116" t="s">
        <v>96</v>
      </c>
      <c r="P116" s="10">
        <v>38.6</v>
      </c>
      <c r="Q116" s="3">
        <v>45567</v>
      </c>
      <c r="R116" s="11">
        <v>45574</v>
      </c>
      <c r="S116" t="s">
        <v>28</v>
      </c>
    </row>
    <row r="117" spans="1:19" x14ac:dyDescent="0.3">
      <c r="A117" s="1">
        <v>45064</v>
      </c>
      <c r="B117" s="6" t="s">
        <v>70</v>
      </c>
      <c r="C117" t="s">
        <v>80</v>
      </c>
      <c r="D117" s="6">
        <v>8</v>
      </c>
      <c r="E117" s="4">
        <v>21999</v>
      </c>
      <c r="F117" s="6" t="s">
        <v>57</v>
      </c>
      <c r="G117" t="s">
        <v>32</v>
      </c>
      <c r="H117" s="7">
        <v>3520</v>
      </c>
      <c r="I117" t="s">
        <v>53</v>
      </c>
      <c r="J117" s="8">
        <f t="shared" si="1"/>
        <v>172501.9</v>
      </c>
      <c r="K117" t="s">
        <v>34</v>
      </c>
      <c r="L117" s="6" t="s">
        <v>269</v>
      </c>
      <c r="M117">
        <v>1</v>
      </c>
      <c r="N117" s="9" t="s">
        <v>270</v>
      </c>
      <c r="O117" t="s">
        <v>271</v>
      </c>
      <c r="P117" s="10">
        <v>29.9</v>
      </c>
      <c r="Q117" s="3">
        <v>45064</v>
      </c>
      <c r="R117" s="11">
        <v>45071</v>
      </c>
      <c r="S117" t="s">
        <v>73</v>
      </c>
    </row>
    <row r="118" spans="1:19" x14ac:dyDescent="0.3">
      <c r="A118" s="1">
        <v>45638</v>
      </c>
      <c r="B118" s="6" t="s">
        <v>39</v>
      </c>
      <c r="C118" t="s">
        <v>47</v>
      </c>
      <c r="D118" s="6">
        <v>12</v>
      </c>
      <c r="E118" s="4">
        <v>7999</v>
      </c>
      <c r="F118" s="6" t="s">
        <v>52</v>
      </c>
      <c r="G118" t="s">
        <v>22</v>
      </c>
      <c r="H118" s="7">
        <v>1920</v>
      </c>
      <c r="I118" t="s">
        <v>23</v>
      </c>
      <c r="J118" s="8">
        <f t="shared" si="1"/>
        <v>94113.600000000006</v>
      </c>
      <c r="K118" t="s">
        <v>24</v>
      </c>
      <c r="L118" s="6" t="s">
        <v>272</v>
      </c>
      <c r="M118">
        <v>0</v>
      </c>
      <c r="N118" s="9" t="s">
        <v>273</v>
      </c>
      <c r="O118" t="s">
        <v>274</v>
      </c>
      <c r="P118" s="10">
        <v>45.6</v>
      </c>
      <c r="Q118" s="3">
        <v>45638</v>
      </c>
      <c r="R118" s="11">
        <v>45645</v>
      </c>
      <c r="S118" t="s">
        <v>45</v>
      </c>
    </row>
    <row r="119" spans="1:19" x14ac:dyDescent="0.3">
      <c r="A119" s="1">
        <v>45743</v>
      </c>
      <c r="B119" s="6" t="s">
        <v>29</v>
      </c>
      <c r="C119" t="s">
        <v>56</v>
      </c>
      <c r="D119" s="6">
        <v>7</v>
      </c>
      <c r="E119" s="4">
        <v>18999</v>
      </c>
      <c r="F119" s="6" t="s">
        <v>31</v>
      </c>
      <c r="G119" t="s">
        <v>32</v>
      </c>
      <c r="H119" s="7">
        <v>2660</v>
      </c>
      <c r="I119" t="s">
        <v>48</v>
      </c>
      <c r="J119" s="8">
        <f t="shared" si="1"/>
        <v>130364.8</v>
      </c>
      <c r="K119" t="s">
        <v>59</v>
      </c>
      <c r="L119" s="6" t="s">
        <v>275</v>
      </c>
      <c r="M119">
        <v>0</v>
      </c>
      <c r="N119" s="9" t="s">
        <v>276</v>
      </c>
      <c r="O119" t="s">
        <v>277</v>
      </c>
      <c r="P119" s="10">
        <v>31.8</v>
      </c>
      <c r="Q119" s="3">
        <v>45743</v>
      </c>
      <c r="R119" s="11">
        <v>45750</v>
      </c>
      <c r="S119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2026-03-26T04:25:46Z</dcterms:modified>
</cp:coreProperties>
</file>